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6A259EB1-1B31-4AED-A9BD-D30E04BB38E0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30 puntos (cm)" sheetId="1" r:id="rId1"/>
    <sheet name="20 puntos (m)" sheetId="2" r:id="rId2"/>
    <sheet name="Todos juntos (m)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6" i="3" l="1"/>
  <c r="C55" i="3"/>
  <c r="C54" i="3"/>
  <c r="C53" i="3"/>
  <c r="C52" i="3"/>
  <c r="B52" i="3"/>
  <c r="C51" i="3"/>
  <c r="B51" i="3"/>
  <c r="C50" i="3"/>
  <c r="C49" i="3"/>
  <c r="C48" i="3"/>
  <c r="C47" i="3"/>
  <c r="C46" i="3"/>
  <c r="D45" i="3"/>
  <c r="C45" i="3"/>
  <c r="B45" i="3"/>
  <c r="C44" i="3"/>
  <c r="C43" i="3"/>
  <c r="C42" i="3"/>
  <c r="C41" i="3"/>
  <c r="C40" i="3"/>
  <c r="C39" i="3"/>
  <c r="B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B26" i="3"/>
  <c r="C25" i="3"/>
  <c r="C24" i="3"/>
  <c r="C23" i="3"/>
  <c r="C22" i="3"/>
  <c r="C21" i="3"/>
  <c r="C20" i="3"/>
  <c r="C19" i="3"/>
  <c r="B19" i="3"/>
  <c r="C18" i="3"/>
  <c r="C17" i="3"/>
  <c r="C16" i="3"/>
  <c r="C15" i="3"/>
  <c r="C14" i="3"/>
  <c r="C13" i="3"/>
  <c r="B13" i="3"/>
  <c r="C12" i="3"/>
  <c r="C11" i="3"/>
  <c r="C10" i="3"/>
  <c r="C9" i="3"/>
  <c r="C8" i="3"/>
  <c r="O7" i="3"/>
  <c r="C7" i="3"/>
  <c r="B26" i="2"/>
  <c r="B25" i="2"/>
  <c r="B24" i="2"/>
  <c r="B23" i="2"/>
  <c r="E22" i="2"/>
  <c r="D22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O9" i="2"/>
  <c r="B9" i="2"/>
  <c r="O8" i="2"/>
  <c r="B8" i="2"/>
  <c r="O7" i="2"/>
  <c r="B7" i="2"/>
  <c r="B36" i="1"/>
  <c r="B35" i="1"/>
  <c r="B34" i="1"/>
  <c r="B33" i="1"/>
  <c r="B32" i="1"/>
  <c r="B31" i="1"/>
  <c r="B30" i="1"/>
  <c r="B29" i="1"/>
  <c r="B28" i="1"/>
  <c r="B27" i="1"/>
  <c r="E26" i="1"/>
  <c r="D26" i="1"/>
  <c r="B26" i="1"/>
  <c r="B25" i="1"/>
  <c r="B24" i="1"/>
  <c r="B23" i="1"/>
  <c r="D22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O9" i="1"/>
  <c r="B9" i="1"/>
  <c r="O8" i="1"/>
  <c r="B8" i="1"/>
  <c r="O7" i="1"/>
  <c r="B7" i="1"/>
  <c r="E56" i="3" l="1"/>
  <c r="D56" i="3"/>
  <c r="D55" i="3"/>
  <c r="E55" i="3"/>
  <c r="E54" i="3"/>
  <c r="D54" i="3"/>
  <c r="E53" i="3"/>
  <c r="D53" i="3"/>
  <c r="E52" i="3"/>
  <c r="D52" i="3"/>
  <c r="E51" i="3"/>
  <c r="D51" i="3"/>
  <c r="E50" i="3"/>
  <c r="D50" i="3"/>
  <c r="E49" i="3"/>
  <c r="D49" i="3"/>
  <c r="D48" i="3"/>
  <c r="E48" i="3"/>
  <c r="E47" i="3"/>
  <c r="D47" i="3"/>
  <c r="E46" i="3"/>
  <c r="D46" i="3"/>
  <c r="E45" i="3"/>
  <c r="D44" i="3"/>
  <c r="E44" i="3"/>
  <c r="D39" i="3"/>
  <c r="E39" i="3"/>
  <c r="D26" i="3"/>
  <c r="E26" i="3"/>
  <c r="E19" i="3"/>
  <c r="D19" i="3"/>
  <c r="E13" i="3"/>
  <c r="D13" i="3"/>
  <c r="E12" i="3"/>
  <c r="D12" i="3"/>
  <c r="D11" i="3"/>
  <c r="E11" i="3"/>
  <c r="D10" i="3"/>
  <c r="E10" i="3"/>
  <c r="O9" i="3"/>
  <c r="E26" i="2"/>
  <c r="D26" i="2"/>
  <c r="B56" i="3"/>
  <c r="D25" i="2"/>
  <c r="E25" i="2"/>
  <c r="B55" i="3"/>
  <c r="D24" i="2"/>
  <c r="E24" i="2"/>
  <c r="B54" i="3"/>
  <c r="E23" i="2"/>
  <c r="D23" i="2"/>
  <c r="B53" i="3"/>
  <c r="D21" i="2"/>
  <c r="E21" i="2"/>
  <c r="E20" i="2"/>
  <c r="D20" i="2"/>
  <c r="B50" i="3"/>
  <c r="D19" i="2"/>
  <c r="E19" i="2"/>
  <c r="B49" i="3"/>
  <c r="D18" i="2"/>
  <c r="E18" i="2"/>
  <c r="B48" i="3"/>
  <c r="D17" i="2"/>
  <c r="E17" i="2"/>
  <c r="B47" i="3"/>
  <c r="E16" i="2"/>
  <c r="D16" i="2"/>
  <c r="B46" i="3"/>
  <c r="D15" i="2"/>
  <c r="E15" i="2"/>
  <c r="D14" i="2"/>
  <c r="B44" i="3"/>
  <c r="E14" i="2"/>
  <c r="E13" i="2"/>
  <c r="B43" i="3"/>
  <c r="D13" i="2"/>
  <c r="D12" i="2"/>
  <c r="B42" i="3"/>
  <c r="E12" i="2"/>
  <c r="B41" i="3"/>
  <c r="D11" i="2"/>
  <c r="E11" i="2"/>
  <c r="E10" i="2"/>
  <c r="D10" i="2"/>
  <c r="B40" i="3"/>
  <c r="O11" i="2"/>
  <c r="E9" i="2"/>
  <c r="D9" i="2"/>
  <c r="O10" i="2"/>
  <c r="O13" i="2"/>
  <c r="B38" i="3"/>
  <c r="E8" i="2"/>
  <c r="J8" i="2"/>
  <c r="D8" i="2"/>
  <c r="B37" i="3"/>
  <c r="D7" i="2"/>
  <c r="O14" i="2" s="1"/>
  <c r="O15" i="2" s="1"/>
  <c r="O16" i="2" s="1"/>
  <c r="J7" i="2"/>
  <c r="E7" i="2"/>
  <c r="O12" i="2" s="1"/>
  <c r="B36" i="3"/>
  <c r="E36" i="1"/>
  <c r="D36" i="1"/>
  <c r="J36" i="1"/>
  <c r="B35" i="3"/>
  <c r="D35" i="1"/>
  <c r="J35" i="1"/>
  <c r="E35" i="1"/>
  <c r="B34" i="3"/>
  <c r="D34" i="1"/>
  <c r="J34" i="1"/>
  <c r="E34" i="1"/>
  <c r="D33" i="1"/>
  <c r="J33" i="1"/>
  <c r="B33" i="3"/>
  <c r="E33" i="1"/>
  <c r="B32" i="3"/>
  <c r="J32" i="1"/>
  <c r="E32" i="1"/>
  <c r="D32" i="1"/>
  <c r="B31" i="3"/>
  <c r="J31" i="1"/>
  <c r="E31" i="1"/>
  <c r="D31" i="1"/>
  <c r="B30" i="3"/>
  <c r="J30" i="1"/>
  <c r="E30" i="1"/>
  <c r="D30" i="1"/>
  <c r="B29" i="3"/>
  <c r="J29" i="1"/>
  <c r="E29" i="1"/>
  <c r="D29" i="1"/>
  <c r="B28" i="3"/>
  <c r="J28" i="1"/>
  <c r="E28" i="1"/>
  <c r="D28" i="1"/>
  <c r="D27" i="1"/>
  <c r="B27" i="3"/>
  <c r="E27" i="1"/>
  <c r="J27" i="1"/>
  <c r="B25" i="3"/>
  <c r="J25" i="1"/>
  <c r="E25" i="1"/>
  <c r="D25" i="1"/>
  <c r="B24" i="3"/>
  <c r="D24" i="1"/>
  <c r="E24" i="1"/>
  <c r="J24" i="1"/>
  <c r="E23" i="1"/>
  <c r="J23" i="1"/>
  <c r="B23" i="3"/>
  <c r="D23" i="1"/>
  <c r="E22" i="1"/>
  <c r="B22" i="3"/>
  <c r="J22" i="1"/>
  <c r="D21" i="1"/>
  <c r="E21" i="1"/>
  <c r="J21" i="1"/>
  <c r="B21" i="3"/>
  <c r="D20" i="1"/>
  <c r="B20" i="3"/>
  <c r="E20" i="1"/>
  <c r="J20" i="1"/>
  <c r="E19" i="1"/>
  <c r="D19" i="1"/>
  <c r="D18" i="1"/>
  <c r="J18" i="1"/>
  <c r="E18" i="1"/>
  <c r="B18" i="3"/>
  <c r="B17" i="3"/>
  <c r="J17" i="1"/>
  <c r="E17" i="1"/>
  <c r="D17" i="1"/>
  <c r="J16" i="1"/>
  <c r="E16" i="1"/>
  <c r="D16" i="1"/>
  <c r="B16" i="3"/>
  <c r="B15" i="3"/>
  <c r="J15" i="1"/>
  <c r="E15" i="1"/>
  <c r="D15" i="1"/>
  <c r="B14" i="3"/>
  <c r="E14" i="1"/>
  <c r="D14" i="1"/>
  <c r="E13" i="1"/>
  <c r="D13" i="1"/>
  <c r="B12" i="3"/>
  <c r="E12" i="1"/>
  <c r="D12" i="1"/>
  <c r="E11" i="1"/>
  <c r="D11" i="1"/>
  <c r="B11" i="3"/>
  <c r="B10" i="3"/>
  <c r="E10" i="1"/>
  <c r="D10" i="1"/>
  <c r="O11" i="1"/>
  <c r="D9" i="1"/>
  <c r="B9" i="3"/>
  <c r="E9" i="1"/>
  <c r="O13" i="1"/>
  <c r="O10" i="1"/>
  <c r="D8" i="1"/>
  <c r="J8" i="1"/>
  <c r="B8" i="3"/>
  <c r="E8" i="1"/>
  <c r="J7" i="1"/>
  <c r="D7" i="1"/>
  <c r="E7" i="1"/>
  <c r="B7" i="3"/>
  <c r="O11" i="3" l="1"/>
  <c r="H12" i="2"/>
  <c r="I12" i="2" s="1"/>
  <c r="H13" i="2"/>
  <c r="I13" i="2" s="1"/>
  <c r="H14" i="2"/>
  <c r="I14" i="2" s="1"/>
  <c r="H15" i="2"/>
  <c r="I15" i="2" s="1"/>
  <c r="H8" i="2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3" i="2"/>
  <c r="I23" i="2" s="1"/>
  <c r="H26" i="2"/>
  <c r="I26" i="2" s="1"/>
  <c r="H7" i="2"/>
  <c r="I7" i="2" s="1"/>
  <c r="H24" i="2"/>
  <c r="I24" i="2" s="1"/>
  <c r="H25" i="2"/>
  <c r="I25" i="2" s="1"/>
  <c r="H22" i="2"/>
  <c r="I22" i="2" s="1"/>
  <c r="H9" i="2"/>
  <c r="I9" i="2" s="1"/>
  <c r="H10" i="2"/>
  <c r="I10" i="2" s="1"/>
  <c r="H11" i="2"/>
  <c r="I11" i="2" s="1"/>
  <c r="J9" i="2"/>
  <c r="J22" i="2"/>
  <c r="K8" i="2"/>
  <c r="F22" i="2"/>
  <c r="G22" i="2" s="1"/>
  <c r="F25" i="2"/>
  <c r="G25" i="2" s="1"/>
  <c r="F24" i="2"/>
  <c r="G24" i="2" s="1"/>
  <c r="F7" i="2"/>
  <c r="G7" i="2" s="1"/>
  <c r="F26" i="2"/>
  <c r="G26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8" i="2"/>
  <c r="G8" i="2" s="1"/>
  <c r="F9" i="2"/>
  <c r="G9" i="2" s="1"/>
  <c r="F23" i="2"/>
  <c r="G23" i="2" s="1"/>
  <c r="O22" i="2"/>
  <c r="L7" i="2"/>
  <c r="K7" i="2"/>
  <c r="K36" i="1"/>
  <c r="L36" i="1"/>
  <c r="K35" i="1"/>
  <c r="L35" i="1"/>
  <c r="K34" i="1"/>
  <c r="L34" i="1"/>
  <c r="K33" i="1"/>
  <c r="D32" i="3"/>
  <c r="E32" i="3"/>
  <c r="K32" i="1"/>
  <c r="L32" i="1"/>
  <c r="K31" i="1"/>
  <c r="L31" i="1"/>
  <c r="K30" i="1"/>
  <c r="L30" i="1"/>
  <c r="K29" i="1"/>
  <c r="L29" i="1"/>
  <c r="K28" i="1"/>
  <c r="L28" i="1"/>
  <c r="K27" i="1"/>
  <c r="L27" i="1"/>
  <c r="K25" i="1"/>
  <c r="L25" i="1"/>
  <c r="K24" i="1"/>
  <c r="K23" i="1"/>
  <c r="K22" i="1"/>
  <c r="K21" i="1"/>
  <c r="K20" i="1"/>
  <c r="K18" i="1"/>
  <c r="K17" i="1"/>
  <c r="K16" i="1"/>
  <c r="K15" i="1"/>
  <c r="D14" i="3"/>
  <c r="E14" i="3"/>
  <c r="H12" i="1"/>
  <c r="I12" i="1" s="1"/>
  <c r="H10" i="1"/>
  <c r="I10" i="1" s="1"/>
  <c r="H13" i="1"/>
  <c r="I13" i="1" s="1"/>
  <c r="H14" i="1"/>
  <c r="I14" i="1" s="1"/>
  <c r="H15" i="1"/>
  <c r="H16" i="1"/>
  <c r="H17" i="1"/>
  <c r="H18" i="1"/>
  <c r="H22" i="1"/>
  <c r="H23" i="1"/>
  <c r="H24" i="1"/>
  <c r="H25" i="1"/>
  <c r="I25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7" i="1"/>
  <c r="I7" i="1" s="1"/>
  <c r="H35" i="1"/>
  <c r="I35" i="1" s="1"/>
  <c r="H9" i="1"/>
  <c r="I9" i="1" s="1"/>
  <c r="H21" i="1"/>
  <c r="H26" i="1"/>
  <c r="I26" i="1" s="1"/>
  <c r="H8" i="1"/>
  <c r="I8" i="1" s="1"/>
  <c r="H34" i="1"/>
  <c r="I34" i="1" s="1"/>
  <c r="H20" i="1"/>
  <c r="H33" i="1"/>
  <c r="H36" i="1"/>
  <c r="I36" i="1" s="1"/>
  <c r="H19" i="1"/>
  <c r="I19" i="1" s="1"/>
  <c r="H11" i="1"/>
  <c r="I11" i="1" s="1"/>
  <c r="J13" i="1"/>
  <c r="J19" i="1"/>
  <c r="J26" i="1"/>
  <c r="L8" i="1"/>
  <c r="K8" i="1"/>
  <c r="K7" i="1"/>
  <c r="L7" i="1"/>
  <c r="O14" i="1"/>
  <c r="O12" i="1"/>
  <c r="O8" i="3"/>
  <c r="E43" i="3"/>
  <c r="D43" i="3"/>
  <c r="E42" i="3"/>
  <c r="D42" i="3"/>
  <c r="E41" i="3"/>
  <c r="D41" i="3"/>
  <c r="D40" i="3"/>
  <c r="E40" i="3"/>
  <c r="J13" i="2"/>
  <c r="J12" i="2"/>
  <c r="J11" i="2"/>
  <c r="J17" i="2"/>
  <c r="J20" i="2"/>
  <c r="J21" i="2"/>
  <c r="J23" i="2"/>
  <c r="J24" i="2"/>
  <c r="J25" i="2"/>
  <c r="J26" i="2"/>
  <c r="J16" i="2"/>
  <c r="J19" i="2"/>
  <c r="J18" i="2"/>
  <c r="J15" i="2"/>
  <c r="J14" i="2"/>
  <c r="J10" i="2"/>
  <c r="E38" i="3"/>
  <c r="D38" i="3"/>
  <c r="D37" i="3"/>
  <c r="E37" i="3"/>
  <c r="D36" i="3"/>
  <c r="E36" i="3"/>
  <c r="E35" i="3"/>
  <c r="D35" i="3"/>
  <c r="D34" i="3"/>
  <c r="E34" i="3"/>
  <c r="E33" i="3"/>
  <c r="D33" i="3"/>
  <c r="E31" i="3"/>
  <c r="D31" i="3"/>
  <c r="E30" i="3"/>
  <c r="D30" i="3"/>
  <c r="E29" i="3"/>
  <c r="D29" i="3"/>
  <c r="D28" i="3"/>
  <c r="E28" i="3"/>
  <c r="D27" i="3"/>
  <c r="E27" i="3"/>
  <c r="E25" i="3"/>
  <c r="D25" i="3"/>
  <c r="D24" i="3"/>
  <c r="E24" i="3"/>
  <c r="D23" i="3"/>
  <c r="E23" i="3"/>
  <c r="E22" i="3"/>
  <c r="D22" i="3"/>
  <c r="D21" i="3"/>
  <c r="E21" i="3"/>
  <c r="D20" i="3"/>
  <c r="E20" i="3"/>
  <c r="E18" i="3"/>
  <c r="D18" i="3"/>
  <c r="D17" i="3"/>
  <c r="E17" i="3"/>
  <c r="E16" i="3"/>
  <c r="D16" i="3"/>
  <c r="D15" i="3"/>
  <c r="E15" i="3"/>
  <c r="E9" i="3"/>
  <c r="D9" i="3"/>
  <c r="J9" i="1"/>
  <c r="J14" i="1"/>
  <c r="J12" i="1"/>
  <c r="J11" i="1"/>
  <c r="J10" i="1"/>
  <c r="E8" i="3"/>
  <c r="D8" i="3"/>
  <c r="E7" i="3"/>
  <c r="D7" i="3"/>
  <c r="H43" i="3" l="1"/>
  <c r="I43" i="3" s="1"/>
  <c r="H44" i="3"/>
  <c r="I44" i="3" s="1"/>
  <c r="H45" i="3"/>
  <c r="I45" i="3" s="1"/>
  <c r="H46" i="3"/>
  <c r="I46" i="3" s="1"/>
  <c r="H47" i="3"/>
  <c r="I47" i="3" s="1"/>
  <c r="H48" i="3"/>
  <c r="I48" i="3" s="1"/>
  <c r="H49" i="3"/>
  <c r="I49" i="3" s="1"/>
  <c r="H50" i="3"/>
  <c r="I50" i="3" s="1"/>
  <c r="H51" i="3"/>
  <c r="I51" i="3" s="1"/>
  <c r="H52" i="3"/>
  <c r="I52" i="3" s="1"/>
  <c r="H53" i="3"/>
  <c r="I53" i="3" s="1"/>
  <c r="H54" i="3"/>
  <c r="I54" i="3" s="1"/>
  <c r="H55" i="3"/>
  <c r="I55" i="3" s="1"/>
  <c r="H56" i="3"/>
  <c r="I56" i="3" s="1"/>
  <c r="H7" i="3"/>
  <c r="I7" i="3" s="1"/>
  <c r="H9" i="3"/>
  <c r="I9" i="3" s="1"/>
  <c r="H13" i="3"/>
  <c r="I13" i="3" s="1"/>
  <c r="H11" i="3"/>
  <c r="I11" i="3" s="1"/>
  <c r="H10" i="3"/>
  <c r="I10" i="3" s="1"/>
  <c r="H12" i="3"/>
  <c r="I12" i="3" s="1"/>
  <c r="H16" i="3"/>
  <c r="I16" i="3" s="1"/>
  <c r="H17" i="3"/>
  <c r="I17" i="3" s="1"/>
  <c r="H24" i="3"/>
  <c r="I24" i="3" s="1"/>
  <c r="H25" i="3"/>
  <c r="I25" i="3" s="1"/>
  <c r="H27" i="3"/>
  <c r="I27" i="3" s="1"/>
  <c r="H28" i="3"/>
  <c r="I28" i="3" s="1"/>
  <c r="H15" i="3"/>
  <c r="I15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6" i="3"/>
  <c r="I26" i="3" s="1"/>
  <c r="H29" i="3"/>
  <c r="I29" i="3" s="1"/>
  <c r="H30" i="3"/>
  <c r="I30" i="3" s="1"/>
  <c r="H31" i="3"/>
  <c r="I31" i="3" s="1"/>
  <c r="H33" i="3"/>
  <c r="I33" i="3" s="1"/>
  <c r="H34" i="3"/>
  <c r="I34" i="3" s="1"/>
  <c r="H35" i="3"/>
  <c r="I35" i="3" s="1"/>
  <c r="H36" i="3"/>
  <c r="I36" i="3" s="1"/>
  <c r="H37" i="3"/>
  <c r="I37" i="3" s="1"/>
  <c r="H39" i="3"/>
  <c r="I39" i="3" s="1"/>
  <c r="H40" i="3"/>
  <c r="I40" i="3" s="1"/>
  <c r="H41" i="3"/>
  <c r="I41" i="3" s="1"/>
  <c r="H42" i="3"/>
  <c r="I42" i="3" s="1"/>
  <c r="H14" i="3"/>
  <c r="I14" i="3" s="1"/>
  <c r="H32" i="3"/>
  <c r="I32" i="3" s="1"/>
  <c r="H8" i="3"/>
  <c r="I8" i="3" s="1"/>
  <c r="H38" i="3"/>
  <c r="I38" i="3" s="1"/>
  <c r="K9" i="2"/>
  <c r="L9" i="2"/>
  <c r="K22" i="2"/>
  <c r="L22" i="2"/>
  <c r="K13" i="1"/>
  <c r="L13" i="1"/>
  <c r="L19" i="1"/>
  <c r="K19" i="1"/>
  <c r="K26" i="1"/>
  <c r="L26" i="1"/>
  <c r="O13" i="3"/>
  <c r="O10" i="3"/>
  <c r="L13" i="2"/>
  <c r="K13" i="2"/>
  <c r="L12" i="2"/>
  <c r="K12" i="2"/>
  <c r="L11" i="2"/>
  <c r="K11" i="2"/>
  <c r="L17" i="2"/>
  <c r="K17" i="2"/>
  <c r="L20" i="2"/>
  <c r="K20" i="2"/>
  <c r="L21" i="2"/>
  <c r="K21" i="2"/>
  <c r="K23" i="2"/>
  <c r="L23" i="2"/>
  <c r="K24" i="2"/>
  <c r="L24" i="2"/>
  <c r="K25" i="2"/>
  <c r="L25" i="2"/>
  <c r="K26" i="2"/>
  <c r="L26" i="2"/>
  <c r="L16" i="2"/>
  <c r="K16" i="2"/>
  <c r="L19" i="2"/>
  <c r="K19" i="2"/>
  <c r="L18" i="2"/>
  <c r="K18" i="2"/>
  <c r="K15" i="2"/>
  <c r="L15" i="2"/>
  <c r="L14" i="2"/>
  <c r="K14" i="2"/>
  <c r="L10" i="2"/>
  <c r="K10" i="2"/>
  <c r="L9" i="1"/>
  <c r="K9" i="1"/>
  <c r="L14" i="1"/>
  <c r="K14" i="1"/>
  <c r="L12" i="1"/>
  <c r="K12" i="1"/>
  <c r="L11" i="1"/>
  <c r="K11" i="1"/>
  <c r="L10" i="1"/>
  <c r="K10" i="1"/>
  <c r="O18" i="2"/>
  <c r="O17" i="1"/>
  <c r="O15" i="1"/>
  <c r="O12" i="3"/>
  <c r="O14" i="3"/>
  <c r="O15" i="3" s="1"/>
  <c r="I8" i="2"/>
  <c r="O17" i="2" s="1"/>
  <c r="O19" i="2" s="1"/>
  <c r="L8" i="2"/>
  <c r="I15" i="1"/>
  <c r="L15" i="1"/>
  <c r="I16" i="1"/>
  <c r="L16" i="1"/>
  <c r="I17" i="1"/>
  <c r="L17" i="1"/>
  <c r="I18" i="1"/>
  <c r="L18" i="1"/>
  <c r="I22" i="1"/>
  <c r="L22" i="1"/>
  <c r="I23" i="1"/>
  <c r="L23" i="1"/>
  <c r="I24" i="1"/>
  <c r="L24" i="1"/>
  <c r="I21" i="1"/>
  <c r="L21" i="1"/>
  <c r="I20" i="1"/>
  <c r="L20" i="1"/>
  <c r="I33" i="1"/>
  <c r="L33" i="1"/>
  <c r="J24" i="3" l="1"/>
  <c r="J29" i="3"/>
  <c r="J33" i="3"/>
  <c r="J34" i="3"/>
  <c r="J7" i="3"/>
  <c r="J9" i="3"/>
  <c r="J15" i="3"/>
  <c r="J16" i="3"/>
  <c r="J21" i="3"/>
  <c r="J23" i="3"/>
  <c r="J17" i="3"/>
  <c r="J14" i="3"/>
  <c r="J18" i="3"/>
  <c r="J22" i="3"/>
  <c r="J35" i="3"/>
  <c r="J37" i="3"/>
  <c r="J32" i="3"/>
  <c r="J20" i="3"/>
  <c r="J25" i="3"/>
  <c r="J27" i="3"/>
  <c r="J28" i="3"/>
  <c r="J30" i="3"/>
  <c r="J31" i="3"/>
  <c r="J36" i="3"/>
  <c r="J40" i="3"/>
  <c r="J41" i="3"/>
  <c r="J42" i="3"/>
  <c r="J43" i="3"/>
  <c r="J45" i="3"/>
  <c r="J46" i="3"/>
  <c r="J47" i="3"/>
  <c r="J48" i="3"/>
  <c r="J49" i="3"/>
  <c r="J50" i="3"/>
  <c r="J51" i="3"/>
  <c r="J52" i="3"/>
  <c r="J53" i="3"/>
  <c r="J54" i="3"/>
  <c r="J55" i="3"/>
  <c r="J56" i="3"/>
  <c r="J8" i="3"/>
  <c r="J38" i="3"/>
  <c r="J44" i="3"/>
  <c r="J10" i="3"/>
  <c r="J13" i="3"/>
  <c r="J12" i="3"/>
  <c r="J11" i="3"/>
  <c r="J19" i="3"/>
  <c r="J26" i="3"/>
  <c r="J39" i="3"/>
  <c r="O16" i="1"/>
  <c r="F10" i="1"/>
  <c r="G10" i="1" s="1"/>
  <c r="F12" i="1"/>
  <c r="G12" i="1" s="1"/>
  <c r="F35" i="1"/>
  <c r="G35" i="1" s="1"/>
  <c r="F21" i="1"/>
  <c r="G21" i="1" s="1"/>
  <c r="F9" i="1"/>
  <c r="G9" i="1" s="1"/>
  <c r="F8" i="1"/>
  <c r="G8" i="1" s="1"/>
  <c r="F34" i="1"/>
  <c r="G34" i="1" s="1"/>
  <c r="F20" i="1"/>
  <c r="G20" i="1" s="1"/>
  <c r="F7" i="1"/>
  <c r="G7" i="1" s="1"/>
  <c r="F36" i="1"/>
  <c r="G36" i="1" s="1"/>
  <c r="F33" i="1"/>
  <c r="G33" i="1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7" i="3"/>
  <c r="G37" i="3" s="1"/>
  <c r="O22" i="3"/>
  <c r="O16" i="3"/>
  <c r="O17" i="3"/>
  <c r="O20" i="1"/>
  <c r="O20" i="2"/>
  <c r="L24" i="3" l="1"/>
  <c r="K24" i="3"/>
  <c r="L29" i="3"/>
  <c r="K29" i="3"/>
  <c r="K33" i="3"/>
  <c r="L33" i="3"/>
  <c r="L34" i="3"/>
  <c r="K34" i="3"/>
  <c r="K7" i="3"/>
  <c r="L7" i="3"/>
  <c r="L9" i="3"/>
  <c r="K9" i="3"/>
  <c r="K15" i="3"/>
  <c r="L15" i="3"/>
  <c r="L16" i="3"/>
  <c r="K16" i="3"/>
  <c r="L21" i="3"/>
  <c r="K21" i="3"/>
  <c r="K23" i="3"/>
  <c r="L23" i="3"/>
  <c r="L17" i="3"/>
  <c r="K17" i="3"/>
  <c r="L14" i="3"/>
  <c r="K14" i="3"/>
  <c r="K18" i="3"/>
  <c r="L18" i="3"/>
  <c r="L22" i="3"/>
  <c r="K22" i="3"/>
  <c r="K35" i="3"/>
  <c r="L35" i="3"/>
  <c r="K37" i="3"/>
  <c r="L37" i="3"/>
  <c r="L32" i="3"/>
  <c r="K32" i="3"/>
  <c r="K20" i="3"/>
  <c r="L20" i="3"/>
  <c r="K25" i="3"/>
  <c r="L25" i="3"/>
  <c r="K27" i="3"/>
  <c r="L27" i="3"/>
  <c r="L28" i="3"/>
  <c r="K28" i="3"/>
  <c r="L30" i="3"/>
  <c r="K30" i="3"/>
  <c r="L31" i="3"/>
  <c r="K31" i="3"/>
  <c r="K36" i="3"/>
  <c r="L36" i="3"/>
  <c r="L40" i="3"/>
  <c r="K40" i="3"/>
  <c r="L41" i="3"/>
  <c r="K41" i="3"/>
  <c r="K42" i="3"/>
  <c r="L42" i="3"/>
  <c r="K43" i="3"/>
  <c r="L43" i="3"/>
  <c r="K45" i="3"/>
  <c r="L45" i="3"/>
  <c r="K46" i="3"/>
  <c r="L46" i="3"/>
  <c r="L47" i="3"/>
  <c r="K47" i="3"/>
  <c r="L48" i="3"/>
  <c r="K48" i="3"/>
  <c r="K49" i="3"/>
  <c r="L49" i="3"/>
  <c r="L50" i="3"/>
  <c r="K50" i="3"/>
  <c r="K51" i="3"/>
  <c r="L51" i="3"/>
  <c r="K52" i="3"/>
  <c r="L52" i="3"/>
  <c r="K53" i="3"/>
  <c r="L53" i="3"/>
  <c r="K54" i="3"/>
  <c r="L54" i="3"/>
  <c r="K55" i="3"/>
  <c r="L55" i="3"/>
  <c r="K56" i="3"/>
  <c r="L56" i="3"/>
  <c r="L8" i="3"/>
  <c r="K8" i="3"/>
  <c r="K38" i="3"/>
  <c r="L38" i="3"/>
  <c r="L44" i="3"/>
  <c r="K44" i="3"/>
  <c r="K10" i="3"/>
  <c r="L10" i="3"/>
  <c r="L13" i="3"/>
  <c r="K13" i="3"/>
  <c r="K12" i="3"/>
  <c r="L12" i="3"/>
  <c r="K11" i="3"/>
  <c r="L11" i="3"/>
  <c r="L19" i="3"/>
  <c r="K19" i="3"/>
  <c r="L26" i="3"/>
  <c r="K26" i="3"/>
  <c r="K39" i="3"/>
  <c r="L39" i="3"/>
  <c r="F14" i="1"/>
  <c r="G14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O22" i="1"/>
  <c r="F13" i="1"/>
  <c r="G13" i="1" s="1"/>
  <c r="F22" i="1"/>
  <c r="G22" i="1" s="1"/>
  <c r="F19" i="1"/>
  <c r="G19" i="1" s="1"/>
  <c r="F18" i="1"/>
  <c r="G18" i="1" s="1"/>
  <c r="F15" i="1"/>
  <c r="G15" i="1" s="1"/>
  <c r="F11" i="1"/>
  <c r="G11" i="1" s="1"/>
  <c r="O18" i="1" s="1"/>
  <c r="O19" i="1" s="1"/>
  <c r="F17" i="1"/>
  <c r="G17" i="1" s="1"/>
  <c r="F16" i="1"/>
  <c r="G16" i="1" s="1"/>
  <c r="F36" i="3"/>
  <c r="G36" i="3" s="1"/>
  <c r="F35" i="3"/>
  <c r="G35" i="3" s="1"/>
  <c r="F34" i="3"/>
  <c r="G34" i="3" s="1"/>
  <c r="F33" i="3"/>
  <c r="G33" i="3" s="1"/>
  <c r="F31" i="3"/>
  <c r="G31" i="3" s="1"/>
  <c r="F30" i="3"/>
  <c r="G30" i="3" s="1"/>
  <c r="F29" i="3"/>
  <c r="G29" i="3" s="1"/>
  <c r="F26" i="3"/>
  <c r="G26" i="3" s="1"/>
  <c r="F22" i="3"/>
  <c r="G22" i="3" s="1"/>
  <c r="F19" i="3"/>
  <c r="G19" i="3" s="1"/>
  <c r="F17" i="3"/>
  <c r="G17" i="3" s="1"/>
  <c r="F28" i="3"/>
  <c r="G28" i="3" s="1"/>
  <c r="F27" i="3"/>
  <c r="G27" i="3" s="1"/>
  <c r="F25" i="3"/>
  <c r="G25" i="3" s="1"/>
  <c r="F24" i="3"/>
  <c r="G24" i="3" s="1"/>
  <c r="F23" i="3"/>
  <c r="G23" i="3" s="1"/>
  <c r="F21" i="3"/>
  <c r="G21" i="3" s="1"/>
  <c r="F20" i="3"/>
  <c r="G20" i="3" s="1"/>
  <c r="F18" i="3"/>
  <c r="G18" i="3" s="1"/>
  <c r="F16" i="3"/>
  <c r="G16" i="3" s="1"/>
  <c r="F15" i="3"/>
  <c r="G15" i="3" s="1"/>
  <c r="F11" i="3"/>
  <c r="G11" i="3" s="1"/>
  <c r="F13" i="3"/>
  <c r="G13" i="3" s="1"/>
  <c r="F12" i="3"/>
  <c r="G12" i="3" s="1"/>
  <c r="F10" i="3"/>
  <c r="G10" i="3" s="1"/>
  <c r="F9" i="3"/>
  <c r="G9" i="3" s="1"/>
  <c r="F8" i="3"/>
  <c r="G8" i="3" s="1"/>
  <c r="F7" i="3"/>
  <c r="G7" i="3" s="1"/>
  <c r="F14" i="3"/>
  <c r="G14" i="3" s="1"/>
  <c r="F38" i="3"/>
  <c r="G38" i="3" s="1"/>
  <c r="F32" i="3"/>
  <c r="G32" i="3" s="1"/>
  <c r="O18" i="3" l="1"/>
  <c r="O19" i="3" s="1"/>
  <c r="O20" i="3"/>
</calcChain>
</file>

<file path=xl/sharedStrings.xml><?xml version="1.0" encoding="utf-8"?>
<sst xmlns="http://schemas.openxmlformats.org/spreadsheetml/2006/main" count="149" uniqueCount="43">
  <si>
    <t>Regresión lineal por mínimos cuadrados</t>
  </si>
  <si>
    <t>Valor inicial de x (cm)</t>
  </si>
  <si>
    <t>Paso entre puntos (cm)</t>
  </si>
  <si>
    <t>Observación</t>
  </si>
  <si>
    <t>Distancia x (cm)</t>
  </si>
  <si>
    <t>y</t>
  </si>
  <si>
    <t>xy</t>
  </si>
  <si>
    <t>x^2</t>
  </si>
  <si>
    <t>Y modelo</t>
  </si>
  <si>
    <t>(Y - Ymodelo)^2</t>
  </si>
  <si>
    <t>y - yprom</t>
  </si>
  <si>
    <t>(Y-Yprom)^2</t>
  </si>
  <si>
    <t>x - xprom</t>
  </si>
  <si>
    <t>(x-xprom)^2</t>
  </si>
  <si>
    <t>(x-xprom)(y-yprom)</t>
  </si>
  <si>
    <t>Resumen</t>
  </si>
  <si>
    <t>Valor</t>
  </si>
  <si>
    <t>n</t>
  </si>
  <si>
    <t>Σx</t>
  </si>
  <si>
    <t>Σy</t>
  </si>
  <si>
    <t>Promedio x</t>
  </si>
  <si>
    <t>Promedio y</t>
  </si>
  <si>
    <t>Σx²</t>
  </si>
  <si>
    <t>(Σx)²</t>
  </si>
  <si>
    <t>Σxy</t>
  </si>
  <si>
    <t>m (pendiente)</t>
  </si>
  <si>
    <t>b (intersección)</t>
  </si>
  <si>
    <t>St</t>
  </si>
  <si>
    <t>Sr</t>
  </si>
  <si>
    <t>R²</t>
  </si>
  <si>
    <t>R</t>
  </si>
  <si>
    <t>Ecuación:</t>
  </si>
  <si>
    <t>|</t>
  </si>
  <si>
    <t>Valor inicial de x (m)</t>
  </si>
  <si>
    <t>Paso entre puntos (m)</t>
  </si>
  <si>
    <t>Distancia x (m)</t>
  </si>
  <si>
    <t>Regresión lineal por mínimos cuadrados - todos los puntos juntos</t>
  </si>
  <si>
    <t>Unidad de x en esta hoja</t>
  </si>
  <si>
    <t>metros</t>
  </si>
  <si>
    <t>Divisor cm → m</t>
  </si>
  <si>
    <t>Origen</t>
  </si>
  <si>
    <t>Hoja cm</t>
  </si>
  <si>
    <t>Hoja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</si>
</sst>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5" fillId="0" borderId="1" xfId="0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Regresión lineal: datos y recta ajustada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(y)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'30 puntos (cm)'!$B$7:$B$36</c:f>
              <c:numCache>
                <c:formatCode>General</c:formatCode>
                <c:ptCount val="30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</c:numCache>
            </c:numRef>
          </c:xVal>
          <c:yVal>
            <c:numRef>
              <c:f>'30 puntos (cm)'!$C$7:$C$36</c:f>
              <c:numCache>
                <c:formatCode>General</c:formatCode>
                <c:ptCount val="30"/>
                <c:pt idx="0">
                  <c:v>-49.9</c:v>
                </c:pt>
                <c:pt idx="1">
                  <c:v>-51.6</c:v>
                </c:pt>
                <c:pt idx="2">
                  <c:v>-50.3</c:v>
                </c:pt>
                <c:pt idx="3">
                  <c:v>-51.4</c:v>
                </c:pt>
                <c:pt idx="4">
                  <c:v>-53</c:v>
                </c:pt>
                <c:pt idx="5">
                  <c:v>-54.4</c:v>
                </c:pt>
                <c:pt idx="6">
                  <c:v>-52.4</c:v>
                </c:pt>
                <c:pt idx="7">
                  <c:v>-52.2</c:v>
                </c:pt>
                <c:pt idx="8">
                  <c:v>-54.1</c:v>
                </c:pt>
                <c:pt idx="9">
                  <c:v>-58.8</c:v>
                </c:pt>
                <c:pt idx="10">
                  <c:v>-60.8</c:v>
                </c:pt>
                <c:pt idx="11">
                  <c:v>-55.8</c:v>
                </c:pt>
                <c:pt idx="12">
                  <c:v>-57.9</c:v>
                </c:pt>
                <c:pt idx="13">
                  <c:v>-58.4</c:v>
                </c:pt>
                <c:pt idx="14">
                  <c:v>-60.9</c:v>
                </c:pt>
                <c:pt idx="15">
                  <c:v>-59.3</c:v>
                </c:pt>
                <c:pt idx="16">
                  <c:v>-65.099999999999994</c:v>
                </c:pt>
                <c:pt idx="17">
                  <c:v>-65.400000000000006</c:v>
                </c:pt>
                <c:pt idx="18">
                  <c:v>-70.599999999999994</c:v>
                </c:pt>
                <c:pt idx="19">
                  <c:v>-60.9</c:v>
                </c:pt>
                <c:pt idx="20">
                  <c:v>-63.3</c:v>
                </c:pt>
                <c:pt idx="21">
                  <c:v>-63.7</c:v>
                </c:pt>
                <c:pt idx="22">
                  <c:v>-59.7</c:v>
                </c:pt>
                <c:pt idx="23">
                  <c:v>-68.599999999999994</c:v>
                </c:pt>
                <c:pt idx="24">
                  <c:v>-61.4</c:v>
                </c:pt>
                <c:pt idx="25">
                  <c:v>-69.2</c:v>
                </c:pt>
                <c:pt idx="26">
                  <c:v>-63.7</c:v>
                </c:pt>
                <c:pt idx="27">
                  <c:v>-71.8</c:v>
                </c:pt>
                <c:pt idx="28">
                  <c:v>-69.099999999999994</c:v>
                </c:pt>
                <c:pt idx="29">
                  <c:v>-70.5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62-4208-A7E8-FEE028524134}"/>
            </c:ext>
          </c:extLst>
        </c:ser>
        <c:ser>
          <c:idx val="1"/>
          <c:order val="1"/>
          <c:tx>
            <c:v>Y modelo (y = mx + b)</c:v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'30 puntos (cm)'!$B$7:$B$36</c:f>
              <c:numCache>
                <c:formatCode>General</c:formatCode>
                <c:ptCount val="30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</c:numCache>
            </c:numRef>
          </c:xVal>
          <c:yVal>
            <c:numRef>
              <c:f>'30 puntos (cm)'!$F$7:$F$36</c:f>
              <c:numCache>
                <c:formatCode>0.0000</c:formatCode>
                <c:ptCount val="30"/>
                <c:pt idx="0">
                  <c:v>-50.184516129032218</c:v>
                </c:pt>
                <c:pt idx="1">
                  <c:v>-50.871101223581718</c:v>
                </c:pt>
                <c:pt idx="2">
                  <c:v>-51.557686318131218</c:v>
                </c:pt>
                <c:pt idx="3">
                  <c:v>-52.244271412680718</c:v>
                </c:pt>
                <c:pt idx="4">
                  <c:v>-52.930856507230224</c:v>
                </c:pt>
                <c:pt idx="5">
                  <c:v>-53.617441601779724</c:v>
                </c:pt>
                <c:pt idx="6">
                  <c:v>-54.304026696329231</c:v>
                </c:pt>
                <c:pt idx="7">
                  <c:v>-54.990611790878731</c:v>
                </c:pt>
                <c:pt idx="8">
                  <c:v>-55.677196885428231</c:v>
                </c:pt>
                <c:pt idx="9">
                  <c:v>-56.36378197997773</c:v>
                </c:pt>
                <c:pt idx="10">
                  <c:v>-57.050367074527237</c:v>
                </c:pt>
                <c:pt idx="11">
                  <c:v>-57.736952169076737</c:v>
                </c:pt>
                <c:pt idx="12">
                  <c:v>-58.423537263626244</c:v>
                </c:pt>
                <c:pt idx="13">
                  <c:v>-59.110122358175744</c:v>
                </c:pt>
                <c:pt idx="14">
                  <c:v>-59.796707452725244</c:v>
                </c:pt>
                <c:pt idx="15">
                  <c:v>-60.483292547274743</c:v>
                </c:pt>
                <c:pt idx="16">
                  <c:v>-61.16987764182425</c:v>
                </c:pt>
                <c:pt idx="17">
                  <c:v>-61.856462736373757</c:v>
                </c:pt>
                <c:pt idx="18">
                  <c:v>-62.543047830923257</c:v>
                </c:pt>
                <c:pt idx="19">
                  <c:v>-63.229632925472757</c:v>
                </c:pt>
                <c:pt idx="20">
                  <c:v>-63.916218020022256</c:v>
                </c:pt>
                <c:pt idx="21">
                  <c:v>-64.602803114571756</c:v>
                </c:pt>
                <c:pt idx="22">
                  <c:v>-65.289388209121256</c:v>
                </c:pt>
                <c:pt idx="23">
                  <c:v>-65.97597330367077</c:v>
                </c:pt>
                <c:pt idx="24">
                  <c:v>-66.66255839822027</c:v>
                </c:pt>
                <c:pt idx="25">
                  <c:v>-67.34914349276977</c:v>
                </c:pt>
                <c:pt idx="26">
                  <c:v>-68.035728587319269</c:v>
                </c:pt>
                <c:pt idx="27">
                  <c:v>-68.722313681868769</c:v>
                </c:pt>
                <c:pt idx="28">
                  <c:v>-69.408898776418283</c:v>
                </c:pt>
                <c:pt idx="29">
                  <c:v>-70.095483870967783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62-4208-A7E8-FEE028524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8039"/>
        <c:axId val="49430214"/>
      </c:scatterChart>
      <c:valAx>
        <c:axId val="2364803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Distancia x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9430214"/>
        <c:crosses val="autoZero"/>
        <c:crossBetween val="midCat"/>
      </c:valAx>
      <c:valAx>
        <c:axId val="49430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2364803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Regresión lineal: datos y recta ajustada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(y)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'20 puntos (m)'!$B$7:$B$26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</c:numCache>
            </c:numRef>
          </c:xVal>
          <c:yVal>
            <c:numRef>
              <c:f>'20 puntos (m)'!$C$7:$C$26</c:f>
              <c:numCache>
                <c:formatCode>General</c:formatCode>
                <c:ptCount val="20"/>
                <c:pt idx="0">
                  <c:v>-71.8</c:v>
                </c:pt>
                <c:pt idx="1">
                  <c:v>-69</c:v>
                </c:pt>
                <c:pt idx="2">
                  <c:v>-65.5</c:v>
                </c:pt>
                <c:pt idx="3">
                  <c:v>-68.7</c:v>
                </c:pt>
                <c:pt idx="4">
                  <c:v>-74.7</c:v>
                </c:pt>
                <c:pt idx="5">
                  <c:v>-85.6</c:v>
                </c:pt>
                <c:pt idx="6">
                  <c:v>-79.5</c:v>
                </c:pt>
                <c:pt idx="7">
                  <c:v>-81.7</c:v>
                </c:pt>
                <c:pt idx="8">
                  <c:v>-78.900000000000006</c:v>
                </c:pt>
                <c:pt idx="9">
                  <c:v>-76.900000000000006</c:v>
                </c:pt>
                <c:pt idx="10">
                  <c:v>-80.400000000000006</c:v>
                </c:pt>
                <c:pt idx="11">
                  <c:v>-80.3</c:v>
                </c:pt>
                <c:pt idx="12">
                  <c:v>-80</c:v>
                </c:pt>
                <c:pt idx="13">
                  <c:v>-81.599999999999994</c:v>
                </c:pt>
                <c:pt idx="14">
                  <c:v>-84.3</c:v>
                </c:pt>
                <c:pt idx="15">
                  <c:v>-88.1</c:v>
                </c:pt>
                <c:pt idx="16">
                  <c:v>-86.7</c:v>
                </c:pt>
                <c:pt idx="17">
                  <c:v>-81.5</c:v>
                </c:pt>
                <c:pt idx="18">
                  <c:v>-79.099999999999994</c:v>
                </c:pt>
                <c:pt idx="19">
                  <c:v>-80.5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EF-4F38-A23A-7F66D6CF9760}"/>
            </c:ext>
          </c:extLst>
        </c:ser>
        <c:ser>
          <c:idx val="1"/>
          <c:order val="1"/>
          <c:tx>
            <c:v>Y modelo (y = mx + b)</c:v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 puntos (m)'!$B$7:$B$26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</c:numCache>
            </c:numRef>
          </c:xVal>
          <c:yVal>
            <c:numRef>
              <c:f>'20 puntos (m)'!$F$7:$F$26</c:f>
              <c:numCache>
                <c:formatCode>0.0000</c:formatCode>
                <c:ptCount val="20"/>
                <c:pt idx="0">
                  <c:v>-71.878571428571334</c:v>
                </c:pt>
                <c:pt idx="1">
                  <c:v>-72.600827067669087</c:v>
                </c:pt>
                <c:pt idx="2">
                  <c:v>-73.32308270676684</c:v>
                </c:pt>
                <c:pt idx="3">
                  <c:v>-74.045338345864593</c:v>
                </c:pt>
                <c:pt idx="4">
                  <c:v>-74.767593984962346</c:v>
                </c:pt>
                <c:pt idx="5">
                  <c:v>-75.489849624060099</c:v>
                </c:pt>
                <c:pt idx="6">
                  <c:v>-76.212105263157852</c:v>
                </c:pt>
                <c:pt idx="7">
                  <c:v>-76.934360902255605</c:v>
                </c:pt>
                <c:pt idx="8">
                  <c:v>-77.656616541353358</c:v>
                </c:pt>
                <c:pt idx="9">
                  <c:v>-78.378872180451111</c:v>
                </c:pt>
                <c:pt idx="10">
                  <c:v>-79.101127819548864</c:v>
                </c:pt>
                <c:pt idx="11">
                  <c:v>-79.823383458646617</c:v>
                </c:pt>
                <c:pt idx="12">
                  <c:v>-80.54563909774437</c:v>
                </c:pt>
                <c:pt idx="13">
                  <c:v>-81.267894736842123</c:v>
                </c:pt>
                <c:pt idx="14">
                  <c:v>-81.990150375939876</c:v>
                </c:pt>
                <c:pt idx="15">
                  <c:v>-82.712406015037629</c:v>
                </c:pt>
                <c:pt idx="16">
                  <c:v>-83.434661654135382</c:v>
                </c:pt>
                <c:pt idx="17">
                  <c:v>-84.156917293233136</c:v>
                </c:pt>
                <c:pt idx="18">
                  <c:v>-84.879172932330889</c:v>
                </c:pt>
                <c:pt idx="19">
                  <c:v>-85.601428571428642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EF-4F38-A23A-7F66D6CF9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83127"/>
        <c:axId val="45815688"/>
      </c:scatterChart>
      <c:valAx>
        <c:axId val="398831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Distancia x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5815688"/>
        <c:crosses val="autoZero"/>
        <c:crossBetween val="midCat"/>
      </c:valAx>
      <c:valAx>
        <c:axId val="45815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988312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Todos los puntos: datos y recta ajustada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Puntos hoja cm (convertidos a m)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'Todos juntos (m)'!$B$7:$B$36</c:f>
              <c:numCache>
                <c:formatCode>0.00</c:formatCode>
                <c:ptCount val="30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</c:numCache>
            </c:numRef>
          </c:xVal>
          <c:yVal>
            <c:numRef>
              <c:f>'Todos juntos (m)'!$C$7:$C$36</c:f>
              <c:numCache>
                <c:formatCode>General</c:formatCode>
                <c:ptCount val="30"/>
                <c:pt idx="0">
                  <c:v>-49.9</c:v>
                </c:pt>
                <c:pt idx="1">
                  <c:v>-51.6</c:v>
                </c:pt>
                <c:pt idx="2">
                  <c:v>-50.3</c:v>
                </c:pt>
                <c:pt idx="3">
                  <c:v>-51.4</c:v>
                </c:pt>
                <c:pt idx="4">
                  <c:v>-53</c:v>
                </c:pt>
                <c:pt idx="5">
                  <c:v>-54.4</c:v>
                </c:pt>
                <c:pt idx="6">
                  <c:v>-52.4</c:v>
                </c:pt>
                <c:pt idx="7">
                  <c:v>-52.2</c:v>
                </c:pt>
                <c:pt idx="8">
                  <c:v>-54.1</c:v>
                </c:pt>
                <c:pt idx="9">
                  <c:v>-58.8</c:v>
                </c:pt>
                <c:pt idx="10">
                  <c:v>-60.8</c:v>
                </c:pt>
                <c:pt idx="11">
                  <c:v>-55.8</c:v>
                </c:pt>
                <c:pt idx="12">
                  <c:v>-57.9</c:v>
                </c:pt>
                <c:pt idx="13">
                  <c:v>-58.4</c:v>
                </c:pt>
                <c:pt idx="14">
                  <c:v>-60.9</c:v>
                </c:pt>
                <c:pt idx="15">
                  <c:v>-59.3</c:v>
                </c:pt>
                <c:pt idx="16">
                  <c:v>-65.099999999999994</c:v>
                </c:pt>
                <c:pt idx="17">
                  <c:v>-65.400000000000006</c:v>
                </c:pt>
                <c:pt idx="18">
                  <c:v>-70.599999999999994</c:v>
                </c:pt>
                <c:pt idx="19">
                  <c:v>-60.9</c:v>
                </c:pt>
                <c:pt idx="20">
                  <c:v>-63.3</c:v>
                </c:pt>
                <c:pt idx="21">
                  <c:v>-63.7</c:v>
                </c:pt>
                <c:pt idx="22">
                  <c:v>-59.7</c:v>
                </c:pt>
                <c:pt idx="23">
                  <c:v>-68.599999999999994</c:v>
                </c:pt>
                <c:pt idx="24">
                  <c:v>-61.4</c:v>
                </c:pt>
                <c:pt idx="25">
                  <c:v>-69.2</c:v>
                </c:pt>
                <c:pt idx="26">
                  <c:v>-63.7</c:v>
                </c:pt>
                <c:pt idx="27">
                  <c:v>-71.8</c:v>
                </c:pt>
                <c:pt idx="28">
                  <c:v>-69.099999999999994</c:v>
                </c:pt>
                <c:pt idx="29">
                  <c:v>-70.5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3F-4339-9AAA-EAE97B8DFE5A}"/>
            </c:ext>
          </c:extLst>
        </c:ser>
        <c:ser>
          <c:idx val="1"/>
          <c:order val="1"/>
          <c:tx>
            <c:v>Puntos hoja m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'Todos juntos (m)'!$B$37:$B$56</c:f>
              <c:numCache>
                <c:formatCode>0.00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</c:numCache>
            </c:numRef>
          </c:xVal>
          <c:yVal>
            <c:numRef>
              <c:f>'Todos juntos (m)'!$C$37:$C$56</c:f>
              <c:numCache>
                <c:formatCode>General</c:formatCode>
                <c:ptCount val="20"/>
                <c:pt idx="0">
                  <c:v>-71.8</c:v>
                </c:pt>
                <c:pt idx="1">
                  <c:v>-69</c:v>
                </c:pt>
                <c:pt idx="2">
                  <c:v>-65.5</c:v>
                </c:pt>
                <c:pt idx="3">
                  <c:v>-68.7</c:v>
                </c:pt>
                <c:pt idx="4">
                  <c:v>-74.7</c:v>
                </c:pt>
                <c:pt idx="5">
                  <c:v>-85.6</c:v>
                </c:pt>
                <c:pt idx="6">
                  <c:v>-79.5</c:v>
                </c:pt>
                <c:pt idx="7">
                  <c:v>-81.7</c:v>
                </c:pt>
                <c:pt idx="8">
                  <c:v>-78.900000000000006</c:v>
                </c:pt>
                <c:pt idx="9">
                  <c:v>-76.900000000000006</c:v>
                </c:pt>
                <c:pt idx="10">
                  <c:v>-80.400000000000006</c:v>
                </c:pt>
                <c:pt idx="11">
                  <c:v>-80.3</c:v>
                </c:pt>
                <c:pt idx="12">
                  <c:v>-80</c:v>
                </c:pt>
                <c:pt idx="13">
                  <c:v>-81.599999999999994</c:v>
                </c:pt>
                <c:pt idx="14">
                  <c:v>-84.3</c:v>
                </c:pt>
                <c:pt idx="15">
                  <c:v>-88.1</c:v>
                </c:pt>
                <c:pt idx="16">
                  <c:v>-86.7</c:v>
                </c:pt>
                <c:pt idx="17">
                  <c:v>-81.5</c:v>
                </c:pt>
                <c:pt idx="18">
                  <c:v>-79.099999999999994</c:v>
                </c:pt>
                <c:pt idx="19">
                  <c:v>-80.5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3F-4339-9AAA-EAE97B8DFE5A}"/>
            </c:ext>
          </c:extLst>
        </c:ser>
        <c:ser>
          <c:idx val="2"/>
          <c:order val="2"/>
          <c:tx>
            <c:v>Y modelo (todos)</c:v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'Todos juntos (m)'!$B$7:$B$56</c:f>
              <c:numCache>
                <c:formatCode>0.00</c:formatCode>
                <c:ptCount val="50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5</c:v>
                </c:pt>
                <c:pt idx="32">
                  <c:v>6</c:v>
                </c:pt>
                <c:pt idx="33">
                  <c:v>7</c:v>
                </c:pt>
                <c:pt idx="34">
                  <c:v>8</c:v>
                </c:pt>
                <c:pt idx="35">
                  <c:v>9</c:v>
                </c:pt>
                <c:pt idx="36">
                  <c:v>10</c:v>
                </c:pt>
                <c:pt idx="37">
                  <c:v>11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16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  <c:pt idx="46">
                  <c:v>20</c:v>
                </c:pt>
                <c:pt idx="47">
                  <c:v>21</c:v>
                </c:pt>
                <c:pt idx="48">
                  <c:v>22</c:v>
                </c:pt>
                <c:pt idx="49">
                  <c:v>23</c:v>
                </c:pt>
              </c:numCache>
            </c:numRef>
          </c:xVal>
          <c:yVal>
            <c:numRef>
              <c:f>'Todos juntos (m)'!$F$7:$F$56</c:f>
              <c:numCache>
                <c:formatCode>0.0000</c:formatCode>
                <c:ptCount val="50"/>
                <c:pt idx="0">
                  <c:v>-59.124269233359861</c:v>
                </c:pt>
                <c:pt idx="1">
                  <c:v>-59.268319161241294</c:v>
                </c:pt>
                <c:pt idx="2">
                  <c:v>-59.412369089122727</c:v>
                </c:pt>
                <c:pt idx="3">
                  <c:v>-59.55641901700416</c:v>
                </c:pt>
                <c:pt idx="4">
                  <c:v>-59.700468944885593</c:v>
                </c:pt>
                <c:pt idx="5">
                  <c:v>-59.844518872767026</c:v>
                </c:pt>
                <c:pt idx="6">
                  <c:v>-59.988568800648459</c:v>
                </c:pt>
                <c:pt idx="7">
                  <c:v>-60.132618728529891</c:v>
                </c:pt>
                <c:pt idx="8">
                  <c:v>-60.276668656411324</c:v>
                </c:pt>
                <c:pt idx="9">
                  <c:v>-60.420718584292757</c:v>
                </c:pt>
                <c:pt idx="10">
                  <c:v>-60.56476851217419</c:v>
                </c:pt>
                <c:pt idx="11">
                  <c:v>-60.708818440055623</c:v>
                </c:pt>
                <c:pt idx="12">
                  <c:v>-60.852868367937056</c:v>
                </c:pt>
                <c:pt idx="13">
                  <c:v>-60.996918295818489</c:v>
                </c:pt>
                <c:pt idx="14">
                  <c:v>-61.140968223699929</c:v>
                </c:pt>
                <c:pt idx="15">
                  <c:v>-61.285018151581362</c:v>
                </c:pt>
                <c:pt idx="16">
                  <c:v>-61.429068079462795</c:v>
                </c:pt>
                <c:pt idx="17">
                  <c:v>-61.573118007344227</c:v>
                </c:pt>
                <c:pt idx="18">
                  <c:v>-61.71716793522566</c:v>
                </c:pt>
                <c:pt idx="19">
                  <c:v>-61.861217863107093</c:v>
                </c:pt>
                <c:pt idx="20">
                  <c:v>-62.005267790988526</c:v>
                </c:pt>
                <c:pt idx="21">
                  <c:v>-62.149317718869959</c:v>
                </c:pt>
                <c:pt idx="22">
                  <c:v>-62.293367646751392</c:v>
                </c:pt>
                <c:pt idx="23">
                  <c:v>-62.437417574632825</c:v>
                </c:pt>
                <c:pt idx="24">
                  <c:v>-62.581467502514258</c:v>
                </c:pt>
                <c:pt idx="25">
                  <c:v>-62.725517430395691</c:v>
                </c:pt>
                <c:pt idx="26">
                  <c:v>-62.869567358277124</c:v>
                </c:pt>
                <c:pt idx="27">
                  <c:v>-63.013617286158556</c:v>
                </c:pt>
                <c:pt idx="28">
                  <c:v>-63.157667214039989</c:v>
                </c:pt>
                <c:pt idx="29">
                  <c:v>-63.301717141921422</c:v>
                </c:pt>
                <c:pt idx="30">
                  <c:v>-63.445767069802855</c:v>
                </c:pt>
                <c:pt idx="31">
                  <c:v>-64.886266348617198</c:v>
                </c:pt>
                <c:pt idx="32">
                  <c:v>-66.326765627431527</c:v>
                </c:pt>
                <c:pt idx="33">
                  <c:v>-67.767264906245856</c:v>
                </c:pt>
                <c:pt idx="34">
                  <c:v>-69.207764185060199</c:v>
                </c:pt>
                <c:pt idx="35">
                  <c:v>-70.648263463874528</c:v>
                </c:pt>
                <c:pt idx="36">
                  <c:v>-72.088762742688857</c:v>
                </c:pt>
                <c:pt idx="37">
                  <c:v>-73.5292620215032</c:v>
                </c:pt>
                <c:pt idx="38">
                  <c:v>-74.969761300317529</c:v>
                </c:pt>
                <c:pt idx="39">
                  <c:v>-76.410260579131858</c:v>
                </c:pt>
                <c:pt idx="40">
                  <c:v>-77.850759857946201</c:v>
                </c:pt>
                <c:pt idx="41">
                  <c:v>-79.29125913676053</c:v>
                </c:pt>
                <c:pt idx="42">
                  <c:v>-80.731758415574859</c:v>
                </c:pt>
                <c:pt idx="43">
                  <c:v>-82.172257694389188</c:v>
                </c:pt>
                <c:pt idx="44">
                  <c:v>-83.612756973203517</c:v>
                </c:pt>
                <c:pt idx="45">
                  <c:v>-85.05325625201786</c:v>
                </c:pt>
                <c:pt idx="46">
                  <c:v>-86.493755530832189</c:v>
                </c:pt>
                <c:pt idx="47">
                  <c:v>-87.934254809646518</c:v>
                </c:pt>
                <c:pt idx="48">
                  <c:v>-89.374754088460861</c:v>
                </c:pt>
                <c:pt idx="49">
                  <c:v>-90.81525336727519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3F-4339-9AAA-EAE97B8DFE5A}"/>
            </c:ext>
          </c:extLst>
        </c:ser>
        <c:ser>
          <c:idx val="3"/>
          <c:order val="3"/>
          <c:tx>
            <c:v>Tendencia (todos)</c:v>
          </c:tx>
          <c:spPr>
            <a:ln w="4752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'Todos juntos (m)'!$B$7:$B$56</c:f>
              <c:numCache>
                <c:formatCode>0.00</c:formatCode>
                <c:ptCount val="50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5</c:v>
                </c:pt>
                <c:pt idx="32">
                  <c:v>6</c:v>
                </c:pt>
                <c:pt idx="33">
                  <c:v>7</c:v>
                </c:pt>
                <c:pt idx="34">
                  <c:v>8</c:v>
                </c:pt>
                <c:pt idx="35">
                  <c:v>9</c:v>
                </c:pt>
                <c:pt idx="36">
                  <c:v>10</c:v>
                </c:pt>
                <c:pt idx="37">
                  <c:v>11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16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  <c:pt idx="46">
                  <c:v>20</c:v>
                </c:pt>
                <c:pt idx="47">
                  <c:v>21</c:v>
                </c:pt>
                <c:pt idx="48">
                  <c:v>22</c:v>
                </c:pt>
                <c:pt idx="49">
                  <c:v>23</c:v>
                </c:pt>
              </c:numCache>
            </c:numRef>
          </c:xVal>
          <c:yVal>
            <c:numRef>
              <c:f>'Todos juntos (m)'!$C$7:$C$56</c:f>
              <c:numCache>
                <c:formatCode>General</c:formatCode>
                <c:ptCount val="50"/>
                <c:pt idx="0">
                  <c:v>-49.9</c:v>
                </c:pt>
                <c:pt idx="1">
                  <c:v>-51.6</c:v>
                </c:pt>
                <c:pt idx="2">
                  <c:v>-50.3</c:v>
                </c:pt>
                <c:pt idx="3">
                  <c:v>-51.4</c:v>
                </c:pt>
                <c:pt idx="4">
                  <c:v>-53</c:v>
                </c:pt>
                <c:pt idx="5">
                  <c:v>-54.4</c:v>
                </c:pt>
                <c:pt idx="6">
                  <c:v>-52.4</c:v>
                </c:pt>
                <c:pt idx="7">
                  <c:v>-52.2</c:v>
                </c:pt>
                <c:pt idx="8">
                  <c:v>-54.1</c:v>
                </c:pt>
                <c:pt idx="9">
                  <c:v>-58.8</c:v>
                </c:pt>
                <c:pt idx="10">
                  <c:v>-60.8</c:v>
                </c:pt>
                <c:pt idx="11">
                  <c:v>-55.8</c:v>
                </c:pt>
                <c:pt idx="12">
                  <c:v>-57.9</c:v>
                </c:pt>
                <c:pt idx="13">
                  <c:v>-58.4</c:v>
                </c:pt>
                <c:pt idx="14">
                  <c:v>-60.9</c:v>
                </c:pt>
                <c:pt idx="15">
                  <c:v>-59.3</c:v>
                </c:pt>
                <c:pt idx="16">
                  <c:v>-65.099999999999994</c:v>
                </c:pt>
                <c:pt idx="17">
                  <c:v>-65.400000000000006</c:v>
                </c:pt>
                <c:pt idx="18">
                  <c:v>-70.599999999999994</c:v>
                </c:pt>
                <c:pt idx="19">
                  <c:v>-60.9</c:v>
                </c:pt>
                <c:pt idx="20">
                  <c:v>-63.3</c:v>
                </c:pt>
                <c:pt idx="21">
                  <c:v>-63.7</c:v>
                </c:pt>
                <c:pt idx="22">
                  <c:v>-59.7</c:v>
                </c:pt>
                <c:pt idx="23">
                  <c:v>-68.599999999999994</c:v>
                </c:pt>
                <c:pt idx="24">
                  <c:v>-61.4</c:v>
                </c:pt>
                <c:pt idx="25">
                  <c:v>-69.2</c:v>
                </c:pt>
                <c:pt idx="26">
                  <c:v>-63.7</c:v>
                </c:pt>
                <c:pt idx="27">
                  <c:v>-71.8</c:v>
                </c:pt>
                <c:pt idx="28">
                  <c:v>-69.099999999999994</c:v>
                </c:pt>
                <c:pt idx="29">
                  <c:v>-70.5</c:v>
                </c:pt>
                <c:pt idx="30">
                  <c:v>-71.8</c:v>
                </c:pt>
                <c:pt idx="31">
                  <c:v>-69</c:v>
                </c:pt>
                <c:pt idx="32">
                  <c:v>-65.5</c:v>
                </c:pt>
                <c:pt idx="33">
                  <c:v>-68.7</c:v>
                </c:pt>
                <c:pt idx="34">
                  <c:v>-74.7</c:v>
                </c:pt>
                <c:pt idx="35">
                  <c:v>-85.6</c:v>
                </c:pt>
                <c:pt idx="36">
                  <c:v>-79.5</c:v>
                </c:pt>
                <c:pt idx="37">
                  <c:v>-81.7</c:v>
                </c:pt>
                <c:pt idx="38">
                  <c:v>-78.900000000000006</c:v>
                </c:pt>
                <c:pt idx="39">
                  <c:v>-76.900000000000006</c:v>
                </c:pt>
                <c:pt idx="40">
                  <c:v>-80.400000000000006</c:v>
                </c:pt>
                <c:pt idx="41">
                  <c:v>-80.3</c:v>
                </c:pt>
                <c:pt idx="42">
                  <c:v>-80</c:v>
                </c:pt>
                <c:pt idx="43">
                  <c:v>-81.599999999999994</c:v>
                </c:pt>
                <c:pt idx="44">
                  <c:v>-84.3</c:v>
                </c:pt>
                <c:pt idx="45">
                  <c:v>-88.1</c:v>
                </c:pt>
                <c:pt idx="46">
                  <c:v>-86.7</c:v>
                </c:pt>
                <c:pt idx="47">
                  <c:v>-81.5</c:v>
                </c:pt>
                <c:pt idx="48">
                  <c:v>-79.099999999999994</c:v>
                </c:pt>
                <c:pt idx="49">
                  <c:v>-80.5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53F-4339-9AAA-EAE97B8DF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14058"/>
        <c:axId val="35640914"/>
      </c:scatterChart>
      <c:valAx>
        <c:axId val="7071405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Distancia x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5640914"/>
        <c:crosses val="autoZero"/>
        <c:crossBetween val="midCat"/>
      </c:valAx>
      <c:valAx>
        <c:axId val="356409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071405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22</xdr:row>
      <xdr:rowOff>160560</xdr:rowOff>
    </xdr:from>
    <xdr:to>
      <xdr:col>22</xdr:col>
      <xdr:colOff>240480</xdr:colOff>
      <xdr:row>41</xdr:row>
      <xdr:rowOff>140400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22</xdr:row>
      <xdr:rowOff>160560</xdr:rowOff>
    </xdr:from>
    <xdr:to>
      <xdr:col>22</xdr:col>
      <xdr:colOff>240480</xdr:colOff>
      <xdr:row>41</xdr:row>
      <xdr:rowOff>140400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22</xdr:row>
      <xdr:rowOff>160560</xdr:rowOff>
    </xdr:from>
    <xdr:to>
      <xdr:col>22</xdr:col>
      <xdr:colOff>240480</xdr:colOff>
      <xdr:row>41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zoomScale="84" zoomScaleNormal="84" workbookViewId="0">
      <pane ySplit="6" topLeftCell="A7" activePane="bottomLeft" state="frozen"/>
      <selection activeCell="H1" sqref="H1"/>
      <selection pane="bottomLeft" activeCell="D2" sqref="D2"/>
    </sheetView>
  </sheetViews>
  <sheetFormatPr baseColWidth="10" defaultColWidth="8.6640625" defaultRowHeight="14.4" x14ac:dyDescent="0.3"/>
  <cols>
    <col min="1" max="1" width="24" customWidth="1"/>
    <col min="2" max="12" width="15" customWidth="1"/>
    <col min="13" max="13" width="3" customWidth="1"/>
    <col min="14" max="14" width="18" customWidth="1"/>
    <col min="15" max="15" width="20" customWidth="1"/>
  </cols>
  <sheetData>
    <row r="1" spans="1:15" ht="18" customHeight="1" x14ac:dyDescent="0.3">
      <c r="A1" s="1" t="s">
        <v>0</v>
      </c>
    </row>
    <row r="2" spans="1:15" x14ac:dyDescent="0.3">
      <c r="A2" s="2" t="s">
        <v>1</v>
      </c>
      <c r="B2" s="3">
        <v>100</v>
      </c>
      <c r="D2" s="4"/>
    </row>
    <row r="3" spans="1:15" x14ac:dyDescent="0.3">
      <c r="A3" s="2" t="s">
        <v>2</v>
      </c>
      <c r="B3" s="3">
        <v>10</v>
      </c>
      <c r="D3" s="4"/>
    </row>
    <row r="6" spans="1:15" ht="45" customHeight="1" x14ac:dyDescent="0.3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N6" s="5" t="s">
        <v>15</v>
      </c>
      <c r="O6" s="5" t="s">
        <v>16</v>
      </c>
    </row>
    <row r="7" spans="1:15" x14ac:dyDescent="0.3">
      <c r="A7" s="6">
        <v>1</v>
      </c>
      <c r="B7" s="6">
        <f t="shared" ref="B7:B36" si="0">$B$2+$B$3*(A7-1)</f>
        <v>100</v>
      </c>
      <c r="C7" s="7">
        <v>-49.9</v>
      </c>
      <c r="D7" s="8">
        <f t="shared" ref="D7:D36" si="1">IF(C7="","",B7*C7)</f>
        <v>-4990</v>
      </c>
      <c r="E7" s="8">
        <f t="shared" ref="E7:E36" si="2">IF(C7="","",B7^2)</f>
        <v>10000</v>
      </c>
      <c r="F7" s="9">
        <f t="shared" ref="F7:F36" si="3">IF(C7="","",$O$15*B7+$O$16)</f>
        <v>-50.184516129032218</v>
      </c>
      <c r="G7" s="9">
        <f t="shared" ref="G7:G36" si="4">IF(C7="","",(C7-F7)^2)</f>
        <v>8.0949427679478617E-2</v>
      </c>
      <c r="H7" s="9">
        <f t="shared" ref="H7:H36" si="5">IF(C7="","",C7-$O$11)</f>
        <v>10.239999999999995</v>
      </c>
      <c r="I7" s="9">
        <f t="shared" ref="I7:I36" si="6">IF(C7="","",H7^2)</f>
        <v>104.85759999999989</v>
      </c>
      <c r="J7" s="9">
        <f t="shared" ref="J7:J36" si="7">IF(C7="","",B7-$O$10)</f>
        <v>-145</v>
      </c>
      <c r="K7" s="9">
        <f t="shared" ref="K7:K36" si="8">IF(C7="","",J7^2)</f>
        <v>21025</v>
      </c>
      <c r="L7" s="9">
        <f t="shared" ref="L7:L36" si="9">IF(C7="","",J7*H7)</f>
        <v>-1484.7999999999993</v>
      </c>
      <c r="N7" s="10" t="s">
        <v>17</v>
      </c>
      <c r="O7" s="11">
        <f>COUNT(C7:C36)</f>
        <v>30</v>
      </c>
    </row>
    <row r="8" spans="1:15" x14ac:dyDescent="0.3">
      <c r="A8" s="6">
        <v>2</v>
      </c>
      <c r="B8" s="6">
        <f t="shared" si="0"/>
        <v>110</v>
      </c>
      <c r="C8" s="7">
        <v>-51.6</v>
      </c>
      <c r="D8" s="8">
        <f t="shared" si="1"/>
        <v>-5676</v>
      </c>
      <c r="E8" s="8">
        <f t="shared" si="2"/>
        <v>12100</v>
      </c>
      <c r="F8" s="9">
        <f t="shared" si="3"/>
        <v>-50.871101223581718</v>
      </c>
      <c r="G8" s="9">
        <f t="shared" si="4"/>
        <v>0.53129342626407083</v>
      </c>
      <c r="H8" s="9">
        <f t="shared" si="5"/>
        <v>8.539999999999992</v>
      </c>
      <c r="I8" s="9">
        <f t="shared" si="6"/>
        <v>72.931599999999861</v>
      </c>
      <c r="J8" s="9">
        <f t="shared" si="7"/>
        <v>-135</v>
      </c>
      <c r="K8" s="9">
        <f t="shared" si="8"/>
        <v>18225</v>
      </c>
      <c r="L8" s="9">
        <f t="shared" si="9"/>
        <v>-1152.899999999999</v>
      </c>
      <c r="N8" s="10" t="s">
        <v>18</v>
      </c>
      <c r="O8" s="11">
        <f>SUMIF(C7:C36,"&lt;&gt;",B7:B36)</f>
        <v>7350</v>
      </c>
    </row>
    <row r="9" spans="1:15" x14ac:dyDescent="0.3">
      <c r="A9" s="6">
        <v>3</v>
      </c>
      <c r="B9" s="6">
        <f t="shared" si="0"/>
        <v>120</v>
      </c>
      <c r="C9" s="7">
        <v>-50.3</v>
      </c>
      <c r="D9" s="8">
        <f t="shared" si="1"/>
        <v>-6036</v>
      </c>
      <c r="E9" s="8">
        <f t="shared" si="2"/>
        <v>14400</v>
      </c>
      <c r="F9" s="9">
        <f t="shared" si="3"/>
        <v>-51.557686318131218</v>
      </c>
      <c r="G9" s="9">
        <f t="shared" si="4"/>
        <v>1.5817748748144658</v>
      </c>
      <c r="H9" s="9">
        <f t="shared" si="5"/>
        <v>9.8399999999999963</v>
      </c>
      <c r="I9" s="9">
        <f t="shared" si="6"/>
        <v>96.825599999999923</v>
      </c>
      <c r="J9" s="9">
        <f t="shared" si="7"/>
        <v>-125</v>
      </c>
      <c r="K9" s="9">
        <f t="shared" si="8"/>
        <v>15625</v>
      </c>
      <c r="L9" s="9">
        <f t="shared" si="9"/>
        <v>-1229.9999999999995</v>
      </c>
      <c r="N9" s="10" t="s">
        <v>19</v>
      </c>
      <c r="O9" s="11">
        <f>SUM(C7:C36)</f>
        <v>-1804.1999999999998</v>
      </c>
    </row>
    <row r="10" spans="1:15" x14ac:dyDescent="0.3">
      <c r="A10" s="6">
        <v>4</v>
      </c>
      <c r="B10" s="6">
        <f t="shared" si="0"/>
        <v>130</v>
      </c>
      <c r="C10" s="7">
        <v>-51.4</v>
      </c>
      <c r="D10" s="8">
        <f t="shared" si="1"/>
        <v>-6682</v>
      </c>
      <c r="E10" s="8">
        <f t="shared" si="2"/>
        <v>16900</v>
      </c>
      <c r="F10" s="9">
        <f t="shared" si="3"/>
        <v>-52.244271412680718</v>
      </c>
      <c r="G10" s="9">
        <f t="shared" si="4"/>
        <v>0.71279421826989675</v>
      </c>
      <c r="H10" s="9">
        <f t="shared" si="5"/>
        <v>8.7399999999999949</v>
      </c>
      <c r="I10" s="9">
        <f t="shared" si="6"/>
        <v>76.387599999999907</v>
      </c>
      <c r="J10" s="9">
        <f t="shared" si="7"/>
        <v>-115</v>
      </c>
      <c r="K10" s="9">
        <f t="shared" si="8"/>
        <v>13225</v>
      </c>
      <c r="L10" s="9">
        <f t="shared" si="9"/>
        <v>-1005.0999999999995</v>
      </c>
      <c r="N10" s="10" t="s">
        <v>20</v>
      </c>
      <c r="O10" s="12">
        <f>O8/O7</f>
        <v>245</v>
      </c>
    </row>
    <row r="11" spans="1:15" x14ac:dyDescent="0.3">
      <c r="A11" s="6">
        <v>5</v>
      </c>
      <c r="B11" s="6">
        <f t="shared" si="0"/>
        <v>140</v>
      </c>
      <c r="C11" s="7">
        <v>-53</v>
      </c>
      <c r="D11" s="8">
        <f t="shared" si="1"/>
        <v>-7420</v>
      </c>
      <c r="E11" s="8">
        <f t="shared" si="2"/>
        <v>19600</v>
      </c>
      <c r="F11" s="9">
        <f t="shared" si="3"/>
        <v>-52.930856507230224</v>
      </c>
      <c r="G11" s="9">
        <f t="shared" si="4"/>
        <v>4.7808225924040118E-3</v>
      </c>
      <c r="H11" s="9">
        <f t="shared" si="5"/>
        <v>7.1399999999999935</v>
      </c>
      <c r="I11" s="9">
        <f t="shared" si="6"/>
        <v>50.979599999999905</v>
      </c>
      <c r="J11" s="9">
        <f t="shared" si="7"/>
        <v>-105</v>
      </c>
      <c r="K11" s="9">
        <f t="shared" si="8"/>
        <v>11025</v>
      </c>
      <c r="L11" s="9">
        <f t="shared" si="9"/>
        <v>-749.69999999999936</v>
      </c>
      <c r="N11" s="10" t="s">
        <v>21</v>
      </c>
      <c r="O11" s="12">
        <f>O9/O7</f>
        <v>-60.139999999999993</v>
      </c>
    </row>
    <row r="12" spans="1:15" x14ac:dyDescent="0.3">
      <c r="A12" s="6">
        <v>6</v>
      </c>
      <c r="B12" s="6">
        <f t="shared" si="0"/>
        <v>150</v>
      </c>
      <c r="C12" s="7">
        <v>-54.4</v>
      </c>
      <c r="D12" s="8">
        <f t="shared" si="1"/>
        <v>-8160</v>
      </c>
      <c r="E12" s="8">
        <f t="shared" si="2"/>
        <v>22500</v>
      </c>
      <c r="F12" s="9">
        <f t="shared" si="3"/>
        <v>-53.617441601779724</v>
      </c>
      <c r="G12" s="9">
        <f t="shared" si="4"/>
        <v>0.61239764662508156</v>
      </c>
      <c r="H12" s="9">
        <f t="shared" si="5"/>
        <v>5.7399999999999949</v>
      </c>
      <c r="I12" s="9">
        <f t="shared" si="6"/>
        <v>32.947599999999944</v>
      </c>
      <c r="J12" s="9">
        <f t="shared" si="7"/>
        <v>-95</v>
      </c>
      <c r="K12" s="9">
        <f t="shared" si="8"/>
        <v>9025</v>
      </c>
      <c r="L12" s="9">
        <f t="shared" si="9"/>
        <v>-545.2999999999995</v>
      </c>
      <c r="N12" s="10" t="s">
        <v>22</v>
      </c>
      <c r="O12" s="12">
        <f>SUM(E7:E36)</f>
        <v>2025500</v>
      </c>
    </row>
    <row r="13" spans="1:15" x14ac:dyDescent="0.3">
      <c r="A13" s="6">
        <v>7</v>
      </c>
      <c r="B13" s="6">
        <f t="shared" si="0"/>
        <v>160</v>
      </c>
      <c r="C13" s="7">
        <v>-52.4</v>
      </c>
      <c r="D13" s="8">
        <f t="shared" si="1"/>
        <v>-8384</v>
      </c>
      <c r="E13" s="8">
        <f t="shared" si="2"/>
        <v>25600</v>
      </c>
      <c r="F13" s="9">
        <f t="shared" si="3"/>
        <v>-54.304026696329231</v>
      </c>
      <c r="G13" s="9">
        <f t="shared" si="4"/>
        <v>3.6253176603344115</v>
      </c>
      <c r="H13" s="9">
        <f t="shared" si="5"/>
        <v>7.7399999999999949</v>
      </c>
      <c r="I13" s="9">
        <f t="shared" si="6"/>
        <v>59.907599999999924</v>
      </c>
      <c r="J13" s="9">
        <f t="shared" si="7"/>
        <v>-85</v>
      </c>
      <c r="K13" s="9">
        <f t="shared" si="8"/>
        <v>7225</v>
      </c>
      <c r="L13" s="9">
        <f t="shared" si="9"/>
        <v>-657.89999999999952</v>
      </c>
      <c r="N13" s="10" t="s">
        <v>23</v>
      </c>
      <c r="O13" s="12">
        <f>O8^2</f>
        <v>54022500</v>
      </c>
    </row>
    <row r="14" spans="1:15" x14ac:dyDescent="0.3">
      <c r="A14" s="6">
        <v>8</v>
      </c>
      <c r="B14" s="6">
        <f t="shared" si="0"/>
        <v>170</v>
      </c>
      <c r="C14" s="7">
        <v>-52.2</v>
      </c>
      <c r="D14" s="8">
        <f t="shared" si="1"/>
        <v>-8874</v>
      </c>
      <c r="E14" s="8">
        <f t="shared" si="2"/>
        <v>28900</v>
      </c>
      <c r="F14" s="9">
        <f t="shared" si="3"/>
        <v>-54.990611790878731</v>
      </c>
      <c r="G14" s="9">
        <f t="shared" si="4"/>
        <v>7.7875141673913815</v>
      </c>
      <c r="H14" s="9">
        <f t="shared" si="5"/>
        <v>7.9399999999999906</v>
      </c>
      <c r="I14" s="9">
        <f t="shared" si="6"/>
        <v>63.043599999999849</v>
      </c>
      <c r="J14" s="9">
        <f t="shared" si="7"/>
        <v>-75</v>
      </c>
      <c r="K14" s="9">
        <f t="shared" si="8"/>
        <v>5625</v>
      </c>
      <c r="L14" s="9">
        <f t="shared" si="9"/>
        <v>-595.49999999999932</v>
      </c>
      <c r="N14" s="10" t="s">
        <v>24</v>
      </c>
      <c r="O14" s="12">
        <f>SUM(D7:D36)</f>
        <v>-457460</v>
      </c>
    </row>
    <row r="15" spans="1:15" x14ac:dyDescent="0.3">
      <c r="A15" s="6">
        <v>9</v>
      </c>
      <c r="B15" s="6">
        <f t="shared" si="0"/>
        <v>180</v>
      </c>
      <c r="C15" s="7">
        <v>-54.1</v>
      </c>
      <c r="D15" s="8">
        <f t="shared" si="1"/>
        <v>-9738</v>
      </c>
      <c r="E15" s="8">
        <f t="shared" si="2"/>
        <v>32400</v>
      </c>
      <c r="F15" s="9">
        <f t="shared" si="3"/>
        <v>-55.677196885428231</v>
      </c>
      <c r="G15" s="9">
        <f t="shared" si="4"/>
        <v>2.4875500154045067</v>
      </c>
      <c r="H15" s="9">
        <f t="shared" si="5"/>
        <v>6.039999999999992</v>
      </c>
      <c r="I15" s="9">
        <f t="shared" si="6"/>
        <v>36.481599999999901</v>
      </c>
      <c r="J15" s="9">
        <f t="shared" si="7"/>
        <v>-65</v>
      </c>
      <c r="K15" s="9">
        <f t="shared" si="8"/>
        <v>4225</v>
      </c>
      <c r="L15" s="9">
        <f t="shared" si="9"/>
        <v>-392.59999999999945</v>
      </c>
      <c r="N15" s="10" t="s">
        <v>25</v>
      </c>
      <c r="O15" s="12">
        <f>(O7*O14-O8*O9)/(O7*O12-O13)</f>
        <v>-6.8658509454950223E-2</v>
      </c>
    </row>
    <row r="16" spans="1:15" x14ac:dyDescent="0.3">
      <c r="A16" s="6">
        <v>10</v>
      </c>
      <c r="B16" s="6">
        <f t="shared" si="0"/>
        <v>190</v>
      </c>
      <c r="C16" s="7">
        <v>-58.8</v>
      </c>
      <c r="D16" s="8">
        <f t="shared" si="1"/>
        <v>-11172</v>
      </c>
      <c r="E16" s="8">
        <f t="shared" si="2"/>
        <v>36100</v>
      </c>
      <c r="F16" s="9">
        <f t="shared" si="3"/>
        <v>-56.36378197997773</v>
      </c>
      <c r="G16" s="9">
        <f t="shared" si="4"/>
        <v>5.935158241081214</v>
      </c>
      <c r="H16" s="9">
        <f t="shared" si="5"/>
        <v>1.3399999999999963</v>
      </c>
      <c r="I16" s="9">
        <f t="shared" si="6"/>
        <v>1.7955999999999901</v>
      </c>
      <c r="J16" s="9">
        <f t="shared" si="7"/>
        <v>-55</v>
      </c>
      <c r="K16" s="9">
        <f t="shared" si="8"/>
        <v>3025</v>
      </c>
      <c r="L16" s="9">
        <f t="shared" si="9"/>
        <v>-73.69999999999979</v>
      </c>
      <c r="N16" s="10" t="s">
        <v>26</v>
      </c>
      <c r="O16" s="12">
        <f>(O9-O15*O8)/O7</f>
        <v>-43.318665183537192</v>
      </c>
    </row>
    <row r="17" spans="1:15" x14ac:dyDescent="0.3">
      <c r="A17" s="6">
        <v>11</v>
      </c>
      <c r="B17" s="6">
        <f t="shared" si="0"/>
        <v>200</v>
      </c>
      <c r="C17" s="7">
        <v>-60.8</v>
      </c>
      <c r="D17" s="8">
        <f t="shared" si="1"/>
        <v>-12160</v>
      </c>
      <c r="E17" s="8">
        <f t="shared" si="2"/>
        <v>40000</v>
      </c>
      <c r="F17" s="9">
        <f t="shared" si="3"/>
        <v>-57.050367074527237</v>
      </c>
      <c r="G17" s="9">
        <f t="shared" si="4"/>
        <v>14.059747075789407</v>
      </c>
      <c r="H17" s="9">
        <f t="shared" si="5"/>
        <v>-0.66000000000000369</v>
      </c>
      <c r="I17" s="9">
        <f t="shared" si="6"/>
        <v>0.43560000000000487</v>
      </c>
      <c r="J17" s="9">
        <f t="shared" si="7"/>
        <v>-45</v>
      </c>
      <c r="K17" s="9">
        <f t="shared" si="8"/>
        <v>2025</v>
      </c>
      <c r="L17" s="9">
        <f t="shared" si="9"/>
        <v>29.700000000000166</v>
      </c>
      <c r="N17" s="10" t="s">
        <v>27</v>
      </c>
      <c r="O17" s="12">
        <f>SUM(I7:I36)</f>
        <v>1301.3519999999999</v>
      </c>
    </row>
    <row r="18" spans="1:15" x14ac:dyDescent="0.3">
      <c r="A18" s="6">
        <v>12</v>
      </c>
      <c r="B18" s="6">
        <f t="shared" si="0"/>
        <v>210</v>
      </c>
      <c r="C18" s="7">
        <v>-55.8</v>
      </c>
      <c r="D18" s="8">
        <f t="shared" si="1"/>
        <v>-11718</v>
      </c>
      <c r="E18" s="8">
        <f t="shared" si="2"/>
        <v>44100</v>
      </c>
      <c r="F18" s="9">
        <f t="shared" si="3"/>
        <v>-57.736952169076737</v>
      </c>
      <c r="G18" s="9">
        <f t="shared" si="4"/>
        <v>3.7517837052910878</v>
      </c>
      <c r="H18" s="9">
        <f t="shared" si="5"/>
        <v>4.3399999999999963</v>
      </c>
      <c r="I18" s="9">
        <f t="shared" si="6"/>
        <v>18.835599999999967</v>
      </c>
      <c r="J18" s="9">
        <f t="shared" si="7"/>
        <v>-35</v>
      </c>
      <c r="K18" s="9">
        <f t="shared" si="8"/>
        <v>1225</v>
      </c>
      <c r="L18" s="9">
        <f t="shared" si="9"/>
        <v>-151.89999999999986</v>
      </c>
      <c r="N18" s="10" t="s">
        <v>28</v>
      </c>
      <c r="O18" s="12">
        <f>SUM(G7:G36)</f>
        <v>241.88254060066708</v>
      </c>
    </row>
    <row r="19" spans="1:15" x14ac:dyDescent="0.3">
      <c r="A19" s="6">
        <v>13</v>
      </c>
      <c r="B19" s="6">
        <f t="shared" si="0"/>
        <v>220</v>
      </c>
      <c r="C19" s="7">
        <v>-57.9</v>
      </c>
      <c r="D19" s="8">
        <f t="shared" si="1"/>
        <v>-12738</v>
      </c>
      <c r="E19" s="8">
        <f t="shared" si="2"/>
        <v>48400</v>
      </c>
      <c r="F19" s="9">
        <f t="shared" si="3"/>
        <v>-58.423537263626244</v>
      </c>
      <c r="G19" s="9">
        <f t="shared" si="4"/>
        <v>0.27409126640525677</v>
      </c>
      <c r="H19" s="9">
        <f t="shared" si="5"/>
        <v>2.2399999999999949</v>
      </c>
      <c r="I19" s="9">
        <f t="shared" si="6"/>
        <v>5.0175999999999767</v>
      </c>
      <c r="J19" s="9">
        <f t="shared" si="7"/>
        <v>-25</v>
      </c>
      <c r="K19" s="9">
        <f t="shared" si="8"/>
        <v>625</v>
      </c>
      <c r="L19" s="9">
        <f t="shared" si="9"/>
        <v>-55.999999999999872</v>
      </c>
      <c r="N19" s="10" t="s">
        <v>29</v>
      </c>
      <c r="O19" s="12">
        <f>IFERROR((O17-O18)/O17,"")</f>
        <v>0.81412981222554137</v>
      </c>
    </row>
    <row r="20" spans="1:15" x14ac:dyDescent="0.3">
      <c r="A20" s="6">
        <v>14</v>
      </c>
      <c r="B20" s="6">
        <f t="shared" si="0"/>
        <v>230</v>
      </c>
      <c r="C20" s="7">
        <v>-58.4</v>
      </c>
      <c r="D20" s="8">
        <f t="shared" si="1"/>
        <v>-13432</v>
      </c>
      <c r="E20" s="8">
        <f t="shared" si="2"/>
        <v>52900</v>
      </c>
      <c r="F20" s="9">
        <f t="shared" si="3"/>
        <v>-59.110122358175744</v>
      </c>
      <c r="G20" s="9">
        <f t="shared" si="4"/>
        <v>0.50427376358108134</v>
      </c>
      <c r="H20" s="9">
        <f t="shared" si="5"/>
        <v>1.7399999999999949</v>
      </c>
      <c r="I20" s="9">
        <f t="shared" si="6"/>
        <v>3.0275999999999823</v>
      </c>
      <c r="J20" s="9">
        <f t="shared" si="7"/>
        <v>-15</v>
      </c>
      <c r="K20" s="9">
        <f t="shared" si="8"/>
        <v>225</v>
      </c>
      <c r="L20" s="9">
        <f t="shared" si="9"/>
        <v>-26.099999999999923</v>
      </c>
      <c r="N20" s="10" t="s">
        <v>30</v>
      </c>
      <c r="O20" s="12">
        <f>IFERROR(SUM(L7:L36)/SQRT(SUM(K7:K36)*SUM(I7:I36)),"")</f>
        <v>-0.9022914231142517</v>
      </c>
    </row>
    <row r="21" spans="1:15" x14ac:dyDescent="0.3">
      <c r="A21" s="6">
        <v>15</v>
      </c>
      <c r="B21" s="6">
        <f t="shared" si="0"/>
        <v>240</v>
      </c>
      <c r="C21" s="7">
        <v>-60.9</v>
      </c>
      <c r="D21" s="8">
        <f t="shared" si="1"/>
        <v>-14616</v>
      </c>
      <c r="E21" s="8">
        <f t="shared" si="2"/>
        <v>57600</v>
      </c>
      <c r="F21" s="9">
        <f t="shared" si="3"/>
        <v>-59.796707452725244</v>
      </c>
      <c r="G21" s="9">
        <f t="shared" si="4"/>
        <v>1.2172544448720175</v>
      </c>
      <c r="H21" s="9">
        <f t="shared" si="5"/>
        <v>-0.76000000000000512</v>
      </c>
      <c r="I21" s="9">
        <f t="shared" si="6"/>
        <v>0.57760000000000777</v>
      </c>
      <c r="J21" s="9">
        <f t="shared" si="7"/>
        <v>-5</v>
      </c>
      <c r="K21" s="9">
        <f t="shared" si="8"/>
        <v>25</v>
      </c>
      <c r="L21" s="9">
        <f t="shared" si="9"/>
        <v>3.8000000000000256</v>
      </c>
    </row>
    <row r="22" spans="1:15" x14ac:dyDescent="0.3">
      <c r="A22" s="6">
        <v>16</v>
      </c>
      <c r="B22" s="6">
        <f t="shared" si="0"/>
        <v>250</v>
      </c>
      <c r="C22" s="7">
        <v>-59.3</v>
      </c>
      <c r="D22" s="8">
        <f t="shared" si="1"/>
        <v>-14825</v>
      </c>
      <c r="E22" s="8">
        <f t="shared" si="2"/>
        <v>62500</v>
      </c>
      <c r="F22" s="9">
        <f t="shared" si="3"/>
        <v>-60.483292547274743</v>
      </c>
      <c r="G22" s="9">
        <f t="shared" si="4"/>
        <v>1.4001812524359574</v>
      </c>
      <c r="H22" s="9">
        <f t="shared" si="5"/>
        <v>0.83999999999999631</v>
      </c>
      <c r="I22" s="9">
        <f t="shared" si="6"/>
        <v>0.70559999999999379</v>
      </c>
      <c r="J22" s="9">
        <f t="shared" si="7"/>
        <v>5</v>
      </c>
      <c r="K22" s="9">
        <f t="shared" si="8"/>
        <v>25</v>
      </c>
      <c r="L22" s="9">
        <f t="shared" si="9"/>
        <v>4.1999999999999815</v>
      </c>
      <c r="N22" s="13" t="s">
        <v>31</v>
      </c>
      <c r="O22" s="13" t="str">
        <f>"y = "&amp;TEXT(O15,"0.0000")&amp;"x + "&amp;TEXT(O16,"0.0000")</f>
        <v>y = 00.000x + -00.043</v>
      </c>
    </row>
    <row r="23" spans="1:15" x14ac:dyDescent="0.3">
      <c r="A23" s="6">
        <v>17</v>
      </c>
      <c r="B23" s="6">
        <f t="shared" si="0"/>
        <v>260</v>
      </c>
      <c r="C23" s="7">
        <v>-65.099999999999994</v>
      </c>
      <c r="D23" s="8">
        <f t="shared" si="1"/>
        <v>-16926</v>
      </c>
      <c r="E23" s="8">
        <f t="shared" si="2"/>
        <v>67600</v>
      </c>
      <c r="F23" s="9">
        <f t="shared" si="3"/>
        <v>-61.16987764182425</v>
      </c>
      <c r="G23" s="9">
        <f t="shared" si="4"/>
        <v>15.445861750232872</v>
      </c>
      <c r="H23" s="9">
        <f t="shared" si="5"/>
        <v>-4.9600000000000009</v>
      </c>
      <c r="I23" s="9">
        <f t="shared" si="6"/>
        <v>24.601600000000008</v>
      </c>
      <c r="J23" s="9">
        <f t="shared" si="7"/>
        <v>15</v>
      </c>
      <c r="K23" s="9">
        <f t="shared" si="8"/>
        <v>225</v>
      </c>
      <c r="L23" s="9">
        <f t="shared" si="9"/>
        <v>-74.400000000000006</v>
      </c>
    </row>
    <row r="24" spans="1:15" x14ac:dyDescent="0.3">
      <c r="A24" s="6">
        <v>18</v>
      </c>
      <c r="B24" s="6">
        <f t="shared" si="0"/>
        <v>270</v>
      </c>
      <c r="C24" s="7">
        <v>-65.400000000000006</v>
      </c>
      <c r="D24" s="8">
        <f t="shared" si="1"/>
        <v>-17658</v>
      </c>
      <c r="E24" s="8">
        <f t="shared" si="2"/>
        <v>72900</v>
      </c>
      <c r="F24" s="9">
        <f t="shared" si="3"/>
        <v>-61.856462736373757</v>
      </c>
      <c r="G24" s="9">
        <f t="shared" si="4"/>
        <v>12.556656338707802</v>
      </c>
      <c r="H24" s="9">
        <f t="shared" si="5"/>
        <v>-5.2600000000000122</v>
      </c>
      <c r="I24" s="9">
        <f t="shared" si="6"/>
        <v>27.667600000000128</v>
      </c>
      <c r="J24" s="9">
        <f t="shared" si="7"/>
        <v>25</v>
      </c>
      <c r="K24" s="9">
        <f t="shared" si="8"/>
        <v>625</v>
      </c>
      <c r="L24" s="9">
        <f t="shared" si="9"/>
        <v>-131.50000000000031</v>
      </c>
    </row>
    <row r="25" spans="1:15" x14ac:dyDescent="0.3">
      <c r="A25" s="6">
        <v>19</v>
      </c>
      <c r="B25" s="6">
        <f t="shared" si="0"/>
        <v>280</v>
      </c>
      <c r="C25" s="7">
        <v>-70.599999999999994</v>
      </c>
      <c r="D25" s="8">
        <f t="shared" si="1"/>
        <v>-19768</v>
      </c>
      <c r="E25" s="8">
        <f t="shared" si="2"/>
        <v>78400</v>
      </c>
      <c r="F25" s="9">
        <f t="shared" si="3"/>
        <v>-62.543047830923257</v>
      </c>
      <c r="G25" s="9">
        <f t="shared" si="4"/>
        <v>64.914478254790339</v>
      </c>
      <c r="H25" s="9">
        <f t="shared" si="5"/>
        <v>-10.46</v>
      </c>
      <c r="I25" s="9">
        <f t="shared" si="6"/>
        <v>109.41160000000002</v>
      </c>
      <c r="J25" s="9">
        <f t="shared" si="7"/>
        <v>35</v>
      </c>
      <c r="K25" s="9">
        <f t="shared" si="8"/>
        <v>1225</v>
      </c>
      <c r="L25" s="9">
        <f t="shared" si="9"/>
        <v>-366.1</v>
      </c>
    </row>
    <row r="26" spans="1:15" x14ac:dyDescent="0.3">
      <c r="A26" s="6">
        <v>20</v>
      </c>
      <c r="B26" s="6">
        <f t="shared" si="0"/>
        <v>290</v>
      </c>
      <c r="C26" s="7">
        <v>-60.9</v>
      </c>
      <c r="D26" s="8">
        <f t="shared" si="1"/>
        <v>-17661</v>
      </c>
      <c r="E26" s="8">
        <f t="shared" si="2"/>
        <v>84100</v>
      </c>
      <c r="F26" s="9">
        <f t="shared" si="3"/>
        <v>-63.229632925472757</v>
      </c>
      <c r="G26" s="9">
        <f t="shared" si="4"/>
        <v>5.4271895674467618</v>
      </c>
      <c r="H26" s="9">
        <f t="shared" si="5"/>
        <v>-0.76000000000000512</v>
      </c>
      <c r="I26" s="9">
        <f t="shared" si="6"/>
        <v>0.57760000000000777</v>
      </c>
      <c r="J26" s="9">
        <f t="shared" si="7"/>
        <v>45</v>
      </c>
      <c r="K26" s="9">
        <f t="shared" si="8"/>
        <v>2025</v>
      </c>
      <c r="L26" s="9">
        <f t="shared" si="9"/>
        <v>-34.20000000000023</v>
      </c>
    </row>
    <row r="27" spans="1:15" x14ac:dyDescent="0.3">
      <c r="A27" s="6">
        <v>21</v>
      </c>
      <c r="B27" s="6">
        <f t="shared" si="0"/>
        <v>300</v>
      </c>
      <c r="C27" s="7">
        <v>-63.3</v>
      </c>
      <c r="D27" s="8">
        <f t="shared" si="1"/>
        <v>-18990</v>
      </c>
      <c r="E27" s="8">
        <f t="shared" si="2"/>
        <v>90000</v>
      </c>
      <c r="F27" s="9">
        <f t="shared" si="3"/>
        <v>-63.916218020022256</v>
      </c>
      <c r="G27" s="9">
        <f t="shared" si="4"/>
        <v>0.37972464820015361</v>
      </c>
      <c r="H27" s="9">
        <f t="shared" si="5"/>
        <v>-3.1600000000000037</v>
      </c>
      <c r="I27" s="9">
        <f t="shared" si="6"/>
        <v>9.9856000000000229</v>
      </c>
      <c r="J27" s="9">
        <f t="shared" si="7"/>
        <v>55</v>
      </c>
      <c r="K27" s="9">
        <f t="shared" si="8"/>
        <v>3025</v>
      </c>
      <c r="L27" s="9">
        <f t="shared" si="9"/>
        <v>-173.80000000000021</v>
      </c>
    </row>
    <row r="28" spans="1:15" x14ac:dyDescent="0.3">
      <c r="A28" s="6">
        <v>22</v>
      </c>
      <c r="B28" s="6">
        <f t="shared" si="0"/>
        <v>310</v>
      </c>
      <c r="C28" s="7">
        <v>-63.7</v>
      </c>
      <c r="D28" s="8">
        <f t="shared" si="1"/>
        <v>-19747</v>
      </c>
      <c r="E28" s="8">
        <f t="shared" si="2"/>
        <v>96100</v>
      </c>
      <c r="F28" s="9">
        <f t="shared" si="3"/>
        <v>-64.602803114571756</v>
      </c>
      <c r="G28" s="9">
        <f t="shared" si="4"/>
        <v>0.81505346368045861</v>
      </c>
      <c r="H28" s="9">
        <f t="shared" si="5"/>
        <v>-3.5600000000000094</v>
      </c>
      <c r="I28" s="9">
        <f t="shared" si="6"/>
        <v>12.673600000000066</v>
      </c>
      <c r="J28" s="9">
        <f t="shared" si="7"/>
        <v>65</v>
      </c>
      <c r="K28" s="9">
        <f t="shared" si="8"/>
        <v>4225</v>
      </c>
      <c r="L28" s="9">
        <f t="shared" si="9"/>
        <v>-231.4000000000006</v>
      </c>
    </row>
    <row r="29" spans="1:15" x14ac:dyDescent="0.3">
      <c r="A29" s="6">
        <v>23</v>
      </c>
      <c r="B29" s="6">
        <f t="shared" si="0"/>
        <v>320</v>
      </c>
      <c r="C29" s="7">
        <v>-59.7</v>
      </c>
      <c r="D29" s="8">
        <f t="shared" si="1"/>
        <v>-19104</v>
      </c>
      <c r="E29" s="8">
        <f t="shared" si="2"/>
        <v>102400</v>
      </c>
      <c r="F29" s="9">
        <f t="shared" si="3"/>
        <v>-65.289388209121256</v>
      </c>
      <c r="G29" s="9">
        <f t="shared" si="4"/>
        <v>31.241260552263689</v>
      </c>
      <c r="H29" s="9">
        <f t="shared" si="5"/>
        <v>0.43999999999999062</v>
      </c>
      <c r="I29" s="9">
        <f t="shared" si="6"/>
        <v>0.19359999999999175</v>
      </c>
      <c r="J29" s="9">
        <f t="shared" si="7"/>
        <v>75</v>
      </c>
      <c r="K29" s="9">
        <f t="shared" si="8"/>
        <v>5625</v>
      </c>
      <c r="L29" s="9">
        <f t="shared" si="9"/>
        <v>32.999999999999297</v>
      </c>
    </row>
    <row r="30" spans="1:15" x14ac:dyDescent="0.3">
      <c r="A30" s="6">
        <v>24</v>
      </c>
      <c r="B30" s="6">
        <f t="shared" si="0"/>
        <v>330</v>
      </c>
      <c r="C30" s="7">
        <v>-68.599999999999994</v>
      </c>
      <c r="D30" s="8">
        <f t="shared" si="1"/>
        <v>-22637.999999999996</v>
      </c>
      <c r="E30" s="8">
        <f t="shared" si="2"/>
        <v>108900</v>
      </c>
      <c r="F30" s="9">
        <f t="shared" si="3"/>
        <v>-65.97597330367077</v>
      </c>
      <c r="G30" s="9">
        <f t="shared" si="4"/>
        <v>6.8855161030484631</v>
      </c>
      <c r="H30" s="9">
        <f t="shared" si="5"/>
        <v>-8.4600000000000009</v>
      </c>
      <c r="I30" s="9">
        <f t="shared" si="6"/>
        <v>71.571600000000018</v>
      </c>
      <c r="J30" s="9">
        <f t="shared" si="7"/>
        <v>85</v>
      </c>
      <c r="K30" s="9">
        <f t="shared" si="8"/>
        <v>7225</v>
      </c>
      <c r="L30" s="9">
        <f t="shared" si="9"/>
        <v>-719.1</v>
      </c>
    </row>
    <row r="31" spans="1:15" x14ac:dyDescent="0.3">
      <c r="A31" s="6">
        <v>25</v>
      </c>
      <c r="B31" s="6">
        <f t="shared" si="0"/>
        <v>340</v>
      </c>
      <c r="C31" s="7">
        <v>-61.4</v>
      </c>
      <c r="D31" s="8">
        <f t="shared" si="1"/>
        <v>-20876</v>
      </c>
      <c r="E31" s="8">
        <f t="shared" si="2"/>
        <v>115600</v>
      </c>
      <c r="F31" s="9">
        <f t="shared" si="3"/>
        <v>-66.66255839822027</v>
      </c>
      <c r="G31" s="9">
        <f t="shared" si="4"/>
        <v>27.694520894678707</v>
      </c>
      <c r="H31" s="9">
        <f t="shared" si="5"/>
        <v>-1.2600000000000051</v>
      </c>
      <c r="I31" s="9">
        <f t="shared" si="6"/>
        <v>1.587600000000013</v>
      </c>
      <c r="J31" s="9">
        <f t="shared" si="7"/>
        <v>95</v>
      </c>
      <c r="K31" s="9">
        <f t="shared" si="8"/>
        <v>9025</v>
      </c>
      <c r="L31" s="9">
        <f t="shared" si="9"/>
        <v>-119.70000000000049</v>
      </c>
    </row>
    <row r="32" spans="1:15" x14ac:dyDescent="0.3">
      <c r="A32" s="6">
        <v>26</v>
      </c>
      <c r="B32" s="6">
        <f t="shared" si="0"/>
        <v>350</v>
      </c>
      <c r="C32" s="7">
        <v>-69.2</v>
      </c>
      <c r="D32" s="8">
        <f t="shared" si="1"/>
        <v>-24220</v>
      </c>
      <c r="E32" s="8">
        <f t="shared" si="2"/>
        <v>122500</v>
      </c>
      <c r="F32" s="9">
        <f t="shared" si="3"/>
        <v>-67.34914349276977</v>
      </c>
      <c r="G32" s="9">
        <f t="shared" si="4"/>
        <v>3.4256698103564984</v>
      </c>
      <c r="H32" s="9">
        <f t="shared" si="5"/>
        <v>-9.0600000000000094</v>
      </c>
      <c r="I32" s="9">
        <f t="shared" si="6"/>
        <v>82.083600000000175</v>
      </c>
      <c r="J32" s="9">
        <f t="shared" si="7"/>
        <v>105</v>
      </c>
      <c r="K32" s="9">
        <f t="shared" si="8"/>
        <v>11025</v>
      </c>
      <c r="L32" s="9">
        <f t="shared" si="9"/>
        <v>-951.30000000000098</v>
      </c>
    </row>
    <row r="33" spans="1:12" x14ac:dyDescent="0.3">
      <c r="A33" s="6">
        <v>27</v>
      </c>
      <c r="B33" s="6">
        <f t="shared" si="0"/>
        <v>360</v>
      </c>
      <c r="C33" s="7">
        <v>-63.7</v>
      </c>
      <c r="D33" s="8">
        <f t="shared" si="1"/>
        <v>-22932</v>
      </c>
      <c r="E33" s="8">
        <f t="shared" si="2"/>
        <v>129600</v>
      </c>
      <c r="F33" s="9">
        <f t="shared" si="3"/>
        <v>-68.035728587319269</v>
      </c>
      <c r="G33" s="9">
        <f t="shared" si="4"/>
        <v>18.798542382897523</v>
      </c>
      <c r="H33" s="9">
        <f t="shared" si="5"/>
        <v>-3.5600000000000094</v>
      </c>
      <c r="I33" s="9">
        <f t="shared" si="6"/>
        <v>12.673600000000066</v>
      </c>
      <c r="J33" s="9">
        <f t="shared" si="7"/>
        <v>115</v>
      </c>
      <c r="K33" s="9">
        <f t="shared" si="8"/>
        <v>13225</v>
      </c>
      <c r="L33" s="9">
        <f t="shared" si="9"/>
        <v>-409.40000000000106</v>
      </c>
    </row>
    <row r="34" spans="1:12" x14ac:dyDescent="0.3">
      <c r="A34" s="6">
        <v>28</v>
      </c>
      <c r="B34" s="6">
        <f t="shared" si="0"/>
        <v>370</v>
      </c>
      <c r="C34" s="7">
        <v>-71.8</v>
      </c>
      <c r="D34" s="8">
        <f t="shared" si="1"/>
        <v>-26566</v>
      </c>
      <c r="E34" s="8">
        <f t="shared" si="2"/>
        <v>136900</v>
      </c>
      <c r="F34" s="9">
        <f t="shared" si="3"/>
        <v>-68.722313681868769</v>
      </c>
      <c r="G34" s="9">
        <f t="shared" si="4"/>
        <v>9.4721530728121532</v>
      </c>
      <c r="H34" s="9">
        <f t="shared" si="5"/>
        <v>-11.660000000000004</v>
      </c>
      <c r="I34" s="9">
        <f t="shared" si="6"/>
        <v>135.95560000000009</v>
      </c>
      <c r="J34" s="9">
        <f t="shared" si="7"/>
        <v>125</v>
      </c>
      <c r="K34" s="9">
        <f t="shared" si="8"/>
        <v>15625</v>
      </c>
      <c r="L34" s="9">
        <f t="shared" si="9"/>
        <v>-1457.5000000000005</v>
      </c>
    </row>
    <row r="35" spans="1:12" x14ac:dyDescent="0.3">
      <c r="A35" s="6">
        <v>29</v>
      </c>
      <c r="B35" s="6">
        <f t="shared" si="0"/>
        <v>380</v>
      </c>
      <c r="C35" s="7">
        <v>-69.099999999999994</v>
      </c>
      <c r="D35" s="8">
        <f t="shared" si="1"/>
        <v>-26257.999999999996</v>
      </c>
      <c r="E35" s="8">
        <f t="shared" si="2"/>
        <v>144400</v>
      </c>
      <c r="F35" s="9">
        <f t="shared" si="3"/>
        <v>-69.408898776418283</v>
      </c>
      <c r="G35" s="9">
        <f t="shared" si="4"/>
        <v>9.5418454072716027E-2</v>
      </c>
      <c r="H35" s="9">
        <f t="shared" si="5"/>
        <v>-8.9600000000000009</v>
      </c>
      <c r="I35" s="9">
        <f t="shared" si="6"/>
        <v>80.281600000000012</v>
      </c>
      <c r="J35" s="9">
        <f t="shared" si="7"/>
        <v>135</v>
      </c>
      <c r="K35" s="9">
        <f t="shared" si="8"/>
        <v>18225</v>
      </c>
      <c r="L35" s="9">
        <f t="shared" si="9"/>
        <v>-1209.6000000000001</v>
      </c>
    </row>
    <row r="36" spans="1:12" x14ac:dyDescent="0.3">
      <c r="A36" s="6">
        <v>30</v>
      </c>
      <c r="B36" s="6">
        <f t="shared" si="0"/>
        <v>390</v>
      </c>
      <c r="C36" s="7">
        <v>-70.5</v>
      </c>
      <c r="D36" s="8">
        <f t="shared" si="1"/>
        <v>-27495</v>
      </c>
      <c r="E36" s="8">
        <f t="shared" si="2"/>
        <v>152100</v>
      </c>
      <c r="F36" s="9">
        <f t="shared" si="3"/>
        <v>-70.095483870967783</v>
      </c>
      <c r="G36" s="9">
        <f t="shared" si="4"/>
        <v>0.16363329864720924</v>
      </c>
      <c r="H36" s="9">
        <f t="shared" si="5"/>
        <v>-10.360000000000007</v>
      </c>
      <c r="I36" s="9">
        <f t="shared" si="6"/>
        <v>107.32960000000014</v>
      </c>
      <c r="J36" s="9">
        <f t="shared" si="7"/>
        <v>145</v>
      </c>
      <c r="K36" s="9">
        <f t="shared" si="8"/>
        <v>21025</v>
      </c>
      <c r="L36" s="9">
        <f t="shared" si="9"/>
        <v>-1502.200000000001</v>
      </c>
    </row>
    <row r="37" spans="1:12" x14ac:dyDescent="0.3">
      <c r="C37" t="s">
        <v>32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zoomScale="83" zoomScaleNormal="83" workbookViewId="0">
      <pane ySplit="6" topLeftCell="A7" activePane="bottomLeft" state="frozen"/>
      <selection activeCell="G1" sqref="G1"/>
      <selection pane="bottomLeft" activeCell="D3" sqref="D3"/>
    </sheetView>
  </sheetViews>
  <sheetFormatPr baseColWidth="10" defaultColWidth="8.6640625" defaultRowHeight="14.4" x14ac:dyDescent="0.3"/>
  <cols>
    <col min="1" max="1" width="24" customWidth="1"/>
    <col min="2" max="12" width="15" customWidth="1"/>
    <col min="13" max="13" width="3" customWidth="1"/>
    <col min="14" max="14" width="18" customWidth="1"/>
    <col min="15" max="15" width="20" customWidth="1"/>
  </cols>
  <sheetData>
    <row r="1" spans="1:15" ht="18" customHeight="1" x14ac:dyDescent="0.3">
      <c r="A1" s="1" t="s">
        <v>0</v>
      </c>
    </row>
    <row r="2" spans="1:15" x14ac:dyDescent="0.3">
      <c r="A2" s="2" t="s">
        <v>33</v>
      </c>
      <c r="B2" s="3">
        <v>4</v>
      </c>
      <c r="D2" s="4"/>
    </row>
    <row r="3" spans="1:15" x14ac:dyDescent="0.3">
      <c r="A3" s="2" t="s">
        <v>34</v>
      </c>
      <c r="B3" s="3">
        <v>1</v>
      </c>
      <c r="D3" s="4"/>
    </row>
    <row r="6" spans="1:15" ht="45" customHeight="1" x14ac:dyDescent="0.3">
      <c r="A6" s="5" t="s">
        <v>3</v>
      </c>
      <c r="B6" s="5" t="s">
        <v>35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N6" s="5" t="s">
        <v>15</v>
      </c>
      <c r="O6" s="5" t="s">
        <v>16</v>
      </c>
    </row>
    <row r="7" spans="1:15" x14ac:dyDescent="0.3">
      <c r="A7" s="6">
        <v>1</v>
      </c>
      <c r="B7" s="6">
        <f t="shared" ref="B7:B26" si="0">$B$2+$B$3*(A7-1)</f>
        <v>4</v>
      </c>
      <c r="C7" s="7">
        <v>-71.8</v>
      </c>
      <c r="D7" s="8">
        <f t="shared" ref="D7:D26" si="1">IF(C7="","",B7*C7)</f>
        <v>-287.2</v>
      </c>
      <c r="E7" s="8">
        <f t="shared" ref="E7:E26" si="2">IF(C7="","",B7^2)</f>
        <v>16</v>
      </c>
      <c r="F7" s="9">
        <f t="shared" ref="F7:F26" si="3">IF(C7="","",$O$15*B7+$O$16)</f>
        <v>-71.878571428571334</v>
      </c>
      <c r="G7" s="9">
        <f t="shared" ref="G7:G26" si="4">IF(C7="","",(C7-F7)^2)</f>
        <v>6.1734693877406824E-3</v>
      </c>
      <c r="H7" s="9">
        <f t="shared" ref="H7:H26" si="5">IF(C7="","",C7-$O$11)</f>
        <v>6.9399999999999835</v>
      </c>
      <c r="I7" s="9">
        <f t="shared" ref="I7:I26" si="6">IF(C7="","",H7^2)</f>
        <v>48.163599999999768</v>
      </c>
      <c r="J7" s="9">
        <f t="shared" ref="J7:J26" si="7">IF(C7="","",B7-$O$10)</f>
        <v>-9.5</v>
      </c>
      <c r="K7" s="9">
        <f t="shared" ref="K7:K26" si="8">IF(C7="","",J7^2)</f>
        <v>90.25</v>
      </c>
      <c r="L7" s="9">
        <f t="shared" ref="L7:L26" si="9">IF(C7="","",J7*H7)</f>
        <v>-65.929999999999836</v>
      </c>
      <c r="N7" s="10" t="s">
        <v>17</v>
      </c>
      <c r="O7" s="11">
        <f>COUNT(C7:C26)</f>
        <v>20</v>
      </c>
    </row>
    <row r="8" spans="1:15" x14ac:dyDescent="0.3">
      <c r="A8" s="6">
        <v>2</v>
      </c>
      <c r="B8" s="6">
        <f t="shared" si="0"/>
        <v>5</v>
      </c>
      <c r="C8" s="7">
        <v>-69</v>
      </c>
      <c r="D8" s="8">
        <f t="shared" si="1"/>
        <v>-345</v>
      </c>
      <c r="E8" s="8">
        <f t="shared" si="2"/>
        <v>25</v>
      </c>
      <c r="F8" s="9">
        <f t="shared" si="3"/>
        <v>-72.600827067669087</v>
      </c>
      <c r="G8" s="9">
        <f t="shared" si="4"/>
        <v>12.965955571258355</v>
      </c>
      <c r="H8" s="9">
        <f t="shared" si="5"/>
        <v>9.7399999999999807</v>
      </c>
      <c r="I8" s="9">
        <f t="shared" si="6"/>
        <v>94.867599999999626</v>
      </c>
      <c r="J8" s="9">
        <f t="shared" si="7"/>
        <v>-8.5</v>
      </c>
      <c r="K8" s="9">
        <f t="shared" si="8"/>
        <v>72.25</v>
      </c>
      <c r="L8" s="9">
        <f t="shared" si="9"/>
        <v>-82.789999999999836</v>
      </c>
      <c r="N8" s="10" t="s">
        <v>18</v>
      </c>
      <c r="O8" s="11">
        <f>SUMIF(C7:C26,"&lt;&gt;",B7:B26)</f>
        <v>270</v>
      </c>
    </row>
    <row r="9" spans="1:15" x14ac:dyDescent="0.3">
      <c r="A9" s="6">
        <v>3</v>
      </c>
      <c r="B9" s="6">
        <f t="shared" si="0"/>
        <v>6</v>
      </c>
      <c r="C9" s="7">
        <v>-65.5</v>
      </c>
      <c r="D9" s="8">
        <f t="shared" si="1"/>
        <v>-393</v>
      </c>
      <c r="E9" s="8">
        <f t="shared" si="2"/>
        <v>36</v>
      </c>
      <c r="F9" s="9">
        <f t="shared" si="3"/>
        <v>-73.32308270676684</v>
      </c>
      <c r="G9" s="9">
        <f t="shared" si="4"/>
        <v>61.200623036914386</v>
      </c>
      <c r="H9" s="9">
        <f t="shared" si="5"/>
        <v>13.239999999999981</v>
      </c>
      <c r="I9" s="9">
        <f t="shared" si="6"/>
        <v>175.29759999999948</v>
      </c>
      <c r="J9" s="9">
        <f t="shared" si="7"/>
        <v>-7.5</v>
      </c>
      <c r="K9" s="9">
        <f t="shared" si="8"/>
        <v>56.25</v>
      </c>
      <c r="L9" s="9">
        <f t="shared" si="9"/>
        <v>-99.299999999999855</v>
      </c>
      <c r="N9" s="10" t="s">
        <v>19</v>
      </c>
      <c r="O9" s="11">
        <f>SUM(C7:C26)</f>
        <v>-1574.7999999999997</v>
      </c>
    </row>
    <row r="10" spans="1:15" x14ac:dyDescent="0.3">
      <c r="A10" s="6">
        <v>4</v>
      </c>
      <c r="B10" s="6">
        <f t="shared" si="0"/>
        <v>7</v>
      </c>
      <c r="C10" s="7">
        <v>-68.7</v>
      </c>
      <c r="D10" s="8">
        <f t="shared" si="1"/>
        <v>-480.90000000000003</v>
      </c>
      <c r="E10" s="8">
        <f t="shared" si="2"/>
        <v>49</v>
      </c>
      <c r="F10" s="9">
        <f t="shared" si="3"/>
        <v>-74.045338345864593</v>
      </c>
      <c r="G10" s="9">
        <f t="shared" si="4"/>
        <v>28.572642031770393</v>
      </c>
      <c r="H10" s="9">
        <f t="shared" si="5"/>
        <v>10.039999999999978</v>
      </c>
      <c r="I10" s="9">
        <f t="shared" si="6"/>
        <v>100.80159999999955</v>
      </c>
      <c r="J10" s="9">
        <f t="shared" si="7"/>
        <v>-6.5</v>
      </c>
      <c r="K10" s="9">
        <f t="shared" si="8"/>
        <v>42.25</v>
      </c>
      <c r="L10" s="9">
        <f t="shared" si="9"/>
        <v>-65.259999999999849</v>
      </c>
      <c r="N10" s="10" t="s">
        <v>20</v>
      </c>
      <c r="O10" s="12">
        <f>O8/O7</f>
        <v>13.5</v>
      </c>
    </row>
    <row r="11" spans="1:15" x14ac:dyDescent="0.3">
      <c r="A11" s="6">
        <v>5</v>
      </c>
      <c r="B11" s="6">
        <f t="shared" si="0"/>
        <v>8</v>
      </c>
      <c r="C11" s="7">
        <v>-74.7</v>
      </c>
      <c r="D11" s="8">
        <f t="shared" si="1"/>
        <v>-597.6</v>
      </c>
      <c r="E11" s="8">
        <f t="shared" si="2"/>
        <v>64</v>
      </c>
      <c r="F11" s="9">
        <f t="shared" si="3"/>
        <v>-74.767593984962346</v>
      </c>
      <c r="G11" s="9">
        <f t="shared" si="4"/>
        <v>4.5689468030894863E-3</v>
      </c>
      <c r="H11" s="9">
        <f t="shared" si="5"/>
        <v>4.0399999999999778</v>
      </c>
      <c r="I11" s="9">
        <f t="shared" si="6"/>
        <v>16.321599999999822</v>
      </c>
      <c r="J11" s="9">
        <f t="shared" si="7"/>
        <v>-5.5</v>
      </c>
      <c r="K11" s="9">
        <f t="shared" si="8"/>
        <v>30.25</v>
      </c>
      <c r="L11" s="9">
        <f t="shared" si="9"/>
        <v>-22.219999999999878</v>
      </c>
      <c r="N11" s="10" t="s">
        <v>21</v>
      </c>
      <c r="O11" s="12">
        <f>O9/O7</f>
        <v>-78.739999999999981</v>
      </c>
    </row>
    <row r="12" spans="1:15" x14ac:dyDescent="0.3">
      <c r="A12" s="6">
        <v>6</v>
      </c>
      <c r="B12" s="6">
        <f t="shared" si="0"/>
        <v>9</v>
      </c>
      <c r="C12" s="7">
        <v>-85.6</v>
      </c>
      <c r="D12" s="8">
        <f t="shared" si="1"/>
        <v>-770.4</v>
      </c>
      <c r="E12" s="8">
        <f t="shared" si="2"/>
        <v>81</v>
      </c>
      <c r="F12" s="9">
        <f t="shared" si="3"/>
        <v>-75.489849624060099</v>
      </c>
      <c r="G12" s="9">
        <f t="shared" si="4"/>
        <v>102.21514062411761</v>
      </c>
      <c r="H12" s="9">
        <f t="shared" si="5"/>
        <v>-6.8600000000000136</v>
      </c>
      <c r="I12" s="9">
        <f t="shared" si="6"/>
        <v>47.059600000000188</v>
      </c>
      <c r="J12" s="9">
        <f t="shared" si="7"/>
        <v>-4.5</v>
      </c>
      <c r="K12" s="9">
        <f t="shared" si="8"/>
        <v>20.25</v>
      </c>
      <c r="L12" s="9">
        <f t="shared" si="9"/>
        <v>30.870000000000061</v>
      </c>
      <c r="N12" s="10" t="s">
        <v>22</v>
      </c>
      <c r="O12" s="12">
        <f>SUM(E7:E26)</f>
        <v>4310</v>
      </c>
    </row>
    <row r="13" spans="1:15" x14ac:dyDescent="0.3">
      <c r="A13" s="6">
        <v>7</v>
      </c>
      <c r="B13" s="6">
        <f t="shared" si="0"/>
        <v>10</v>
      </c>
      <c r="C13" s="7">
        <v>-79.5</v>
      </c>
      <c r="D13" s="8">
        <f t="shared" si="1"/>
        <v>-795</v>
      </c>
      <c r="E13" s="8">
        <f t="shared" si="2"/>
        <v>100</v>
      </c>
      <c r="F13" s="9">
        <f t="shared" si="3"/>
        <v>-76.212105263157852</v>
      </c>
      <c r="G13" s="9">
        <f t="shared" si="4"/>
        <v>10.810251800554296</v>
      </c>
      <c r="H13" s="9">
        <f t="shared" si="5"/>
        <v>-0.76000000000001933</v>
      </c>
      <c r="I13" s="9">
        <f t="shared" si="6"/>
        <v>0.57760000000002942</v>
      </c>
      <c r="J13" s="9">
        <f t="shared" si="7"/>
        <v>-3.5</v>
      </c>
      <c r="K13" s="9">
        <f t="shared" si="8"/>
        <v>12.25</v>
      </c>
      <c r="L13" s="9">
        <f t="shared" si="9"/>
        <v>2.6600000000000676</v>
      </c>
      <c r="N13" s="10" t="s">
        <v>23</v>
      </c>
      <c r="O13" s="12">
        <f>O8^2</f>
        <v>72900</v>
      </c>
    </row>
    <row r="14" spans="1:15" x14ac:dyDescent="0.3">
      <c r="A14" s="6">
        <v>8</v>
      </c>
      <c r="B14" s="6">
        <f t="shared" si="0"/>
        <v>11</v>
      </c>
      <c r="C14" s="7">
        <v>-81.7</v>
      </c>
      <c r="D14" s="8">
        <f t="shared" si="1"/>
        <v>-898.7</v>
      </c>
      <c r="E14" s="8">
        <f t="shared" si="2"/>
        <v>121</v>
      </c>
      <c r="F14" s="9">
        <f t="shared" si="3"/>
        <v>-76.934360902255605</v>
      </c>
      <c r="G14" s="9">
        <f t="shared" si="4"/>
        <v>22.711316009950036</v>
      </c>
      <c r="H14" s="9">
        <f t="shared" si="5"/>
        <v>-2.9600000000000222</v>
      </c>
      <c r="I14" s="9">
        <f t="shared" si="6"/>
        <v>8.7616000000001311</v>
      </c>
      <c r="J14" s="9">
        <f t="shared" si="7"/>
        <v>-2.5</v>
      </c>
      <c r="K14" s="9">
        <f t="shared" si="8"/>
        <v>6.25</v>
      </c>
      <c r="L14" s="9">
        <f t="shared" si="9"/>
        <v>7.4000000000000554</v>
      </c>
      <c r="N14" s="10" t="s">
        <v>24</v>
      </c>
      <c r="O14" s="12">
        <f>SUM(D7:D26)</f>
        <v>-21740.100000000002</v>
      </c>
    </row>
    <row r="15" spans="1:15" x14ac:dyDescent="0.3">
      <c r="A15" s="6">
        <v>9</v>
      </c>
      <c r="B15" s="6">
        <f t="shared" si="0"/>
        <v>12</v>
      </c>
      <c r="C15" s="7">
        <v>-78.900000000000006</v>
      </c>
      <c r="D15" s="8">
        <f t="shared" si="1"/>
        <v>-946.80000000000007</v>
      </c>
      <c r="E15" s="8">
        <f t="shared" si="2"/>
        <v>144</v>
      </c>
      <c r="F15" s="9">
        <f t="shared" si="3"/>
        <v>-77.656616541353358</v>
      </c>
      <c r="G15" s="9">
        <f t="shared" si="4"/>
        <v>1.5460024252360993</v>
      </c>
      <c r="H15" s="9">
        <f t="shared" si="5"/>
        <v>-0.16000000000002501</v>
      </c>
      <c r="I15" s="9">
        <f t="shared" si="6"/>
        <v>2.5600000000008005E-2</v>
      </c>
      <c r="J15" s="9">
        <f t="shared" si="7"/>
        <v>-1.5</v>
      </c>
      <c r="K15" s="9">
        <f t="shared" si="8"/>
        <v>2.25</v>
      </c>
      <c r="L15" s="9">
        <f t="shared" si="9"/>
        <v>0.24000000000003752</v>
      </c>
      <c r="N15" s="10" t="s">
        <v>25</v>
      </c>
      <c r="O15" s="12">
        <f>(O7*O14-O8*O9)/(O7*O12-O13)</f>
        <v>-0.72225563909775314</v>
      </c>
    </row>
    <row r="16" spans="1:15" x14ac:dyDescent="0.3">
      <c r="A16" s="6">
        <v>10</v>
      </c>
      <c r="B16" s="6">
        <f t="shared" si="0"/>
        <v>13</v>
      </c>
      <c r="C16" s="7">
        <v>-76.900000000000006</v>
      </c>
      <c r="D16" s="8">
        <f t="shared" si="1"/>
        <v>-999.7</v>
      </c>
      <c r="E16" s="8">
        <f t="shared" si="2"/>
        <v>169</v>
      </c>
      <c r="F16" s="9">
        <f t="shared" si="3"/>
        <v>-78.378872180451111</v>
      </c>
      <c r="G16" s="9">
        <f t="shared" si="4"/>
        <v>2.1870629261122074</v>
      </c>
      <c r="H16" s="9">
        <f t="shared" si="5"/>
        <v>1.839999999999975</v>
      </c>
      <c r="I16" s="9">
        <f t="shared" si="6"/>
        <v>3.3855999999999078</v>
      </c>
      <c r="J16" s="9">
        <f t="shared" si="7"/>
        <v>-0.5</v>
      </c>
      <c r="K16" s="9">
        <f t="shared" si="8"/>
        <v>0.25</v>
      </c>
      <c r="L16" s="9">
        <f t="shared" si="9"/>
        <v>-0.91999999999998749</v>
      </c>
      <c r="N16" s="10" t="s">
        <v>26</v>
      </c>
      <c r="O16" s="12">
        <f>(O9-O15*O8)/O7</f>
        <v>-68.989548872180322</v>
      </c>
    </row>
    <row r="17" spans="1:15" x14ac:dyDescent="0.3">
      <c r="A17" s="6">
        <v>11</v>
      </c>
      <c r="B17" s="6">
        <f t="shared" si="0"/>
        <v>14</v>
      </c>
      <c r="C17" s="7">
        <v>-80.400000000000006</v>
      </c>
      <c r="D17" s="8">
        <f t="shared" si="1"/>
        <v>-1125.6000000000001</v>
      </c>
      <c r="E17" s="8">
        <f t="shared" si="2"/>
        <v>196</v>
      </c>
      <c r="F17" s="9">
        <f t="shared" si="3"/>
        <v>-79.101127819548864</v>
      </c>
      <c r="G17" s="9">
        <f t="shared" si="4"/>
        <v>1.6870689411499025</v>
      </c>
      <c r="H17" s="9">
        <f t="shared" si="5"/>
        <v>-1.660000000000025</v>
      </c>
      <c r="I17" s="9">
        <f t="shared" si="6"/>
        <v>2.7556000000000829</v>
      </c>
      <c r="J17" s="9">
        <f t="shared" si="7"/>
        <v>0.5</v>
      </c>
      <c r="K17" s="9">
        <f t="shared" si="8"/>
        <v>0.25</v>
      </c>
      <c r="L17" s="9">
        <f t="shared" si="9"/>
        <v>-0.83000000000001251</v>
      </c>
      <c r="N17" s="10" t="s">
        <v>27</v>
      </c>
      <c r="O17" s="12">
        <f>SUM(I7:I26)</f>
        <v>702.94799999999975</v>
      </c>
    </row>
    <row r="18" spans="1:15" x14ac:dyDescent="0.3">
      <c r="A18" s="6">
        <v>12</v>
      </c>
      <c r="B18" s="6">
        <f t="shared" si="0"/>
        <v>15</v>
      </c>
      <c r="C18" s="7">
        <v>-80.3</v>
      </c>
      <c r="D18" s="8">
        <f t="shared" si="1"/>
        <v>-1204.5</v>
      </c>
      <c r="E18" s="8">
        <f t="shared" si="2"/>
        <v>225</v>
      </c>
      <c r="F18" s="9">
        <f t="shared" si="3"/>
        <v>-79.823383458646617</v>
      </c>
      <c r="G18" s="9">
        <f t="shared" si="4"/>
        <v>0.22716332749165802</v>
      </c>
      <c r="H18" s="9">
        <f t="shared" si="5"/>
        <v>-1.5600000000000165</v>
      </c>
      <c r="I18" s="9">
        <f t="shared" si="6"/>
        <v>2.4336000000000513</v>
      </c>
      <c r="J18" s="9">
        <f t="shared" si="7"/>
        <v>1.5</v>
      </c>
      <c r="K18" s="9">
        <f t="shared" si="8"/>
        <v>2.25</v>
      </c>
      <c r="L18" s="9">
        <f t="shared" si="9"/>
        <v>-2.3400000000000247</v>
      </c>
      <c r="N18" s="10" t="s">
        <v>28</v>
      </c>
      <c r="O18" s="12">
        <f>SUM(G7:G26)</f>
        <v>356.04861654135334</v>
      </c>
    </row>
    <row r="19" spans="1:15" x14ac:dyDescent="0.3">
      <c r="A19" s="6">
        <v>13</v>
      </c>
      <c r="B19" s="6">
        <f t="shared" si="0"/>
        <v>16</v>
      </c>
      <c r="C19" s="7">
        <v>-80</v>
      </c>
      <c r="D19" s="8">
        <f t="shared" si="1"/>
        <v>-1280</v>
      </c>
      <c r="E19" s="8">
        <f t="shared" si="2"/>
        <v>256</v>
      </c>
      <c r="F19" s="9">
        <f t="shared" si="3"/>
        <v>-80.54563909774437</v>
      </c>
      <c r="G19" s="9">
        <f t="shared" si="4"/>
        <v>0.29772202498729056</v>
      </c>
      <c r="H19" s="9">
        <f t="shared" si="5"/>
        <v>-1.2600000000000193</v>
      </c>
      <c r="I19" s="9">
        <f t="shared" si="6"/>
        <v>1.5876000000000487</v>
      </c>
      <c r="J19" s="9">
        <f t="shared" si="7"/>
        <v>2.5</v>
      </c>
      <c r="K19" s="9">
        <f t="shared" si="8"/>
        <v>6.25</v>
      </c>
      <c r="L19" s="9">
        <f t="shared" si="9"/>
        <v>-3.1500000000000483</v>
      </c>
      <c r="N19" s="10" t="s">
        <v>29</v>
      </c>
      <c r="O19" s="12">
        <f>IFERROR((O17-O18)/O17,"")</f>
        <v>0.49349224047674439</v>
      </c>
    </row>
    <row r="20" spans="1:15" x14ac:dyDescent="0.3">
      <c r="A20" s="6">
        <v>14</v>
      </c>
      <c r="B20" s="6">
        <f t="shared" si="0"/>
        <v>17</v>
      </c>
      <c r="C20" s="7">
        <v>-81.599999999999994</v>
      </c>
      <c r="D20" s="8">
        <f t="shared" si="1"/>
        <v>-1387.1999999999998</v>
      </c>
      <c r="E20" s="8">
        <f t="shared" si="2"/>
        <v>289</v>
      </c>
      <c r="F20" s="9">
        <f t="shared" si="3"/>
        <v>-81.267894736842123</v>
      </c>
      <c r="G20" s="9">
        <f t="shared" si="4"/>
        <v>0.1102939058171587</v>
      </c>
      <c r="H20" s="9">
        <f t="shared" si="5"/>
        <v>-2.8600000000000136</v>
      </c>
      <c r="I20" s="9">
        <f t="shared" si="6"/>
        <v>8.1796000000000788</v>
      </c>
      <c r="J20" s="9">
        <f t="shared" si="7"/>
        <v>3.5</v>
      </c>
      <c r="K20" s="9">
        <f t="shared" si="8"/>
        <v>12.25</v>
      </c>
      <c r="L20" s="9">
        <f t="shared" si="9"/>
        <v>-10.010000000000048</v>
      </c>
      <c r="N20" s="10" t="s">
        <v>30</v>
      </c>
      <c r="O20" s="12">
        <f>IFERROR(SUM(L7:L26)/SQRT(SUM(K7:K26)*SUM(I7:I26)),"")</f>
        <v>-0.70249002873830502</v>
      </c>
    </row>
    <row r="21" spans="1:15" x14ac:dyDescent="0.3">
      <c r="A21" s="6">
        <v>15</v>
      </c>
      <c r="B21" s="6">
        <f t="shared" si="0"/>
        <v>18</v>
      </c>
      <c r="C21" s="7">
        <v>-84.3</v>
      </c>
      <c r="D21" s="8">
        <f t="shared" si="1"/>
        <v>-1517.3999999999999</v>
      </c>
      <c r="E21" s="8">
        <f t="shared" si="2"/>
        <v>324</v>
      </c>
      <c r="F21" s="9">
        <f t="shared" si="3"/>
        <v>-81.990150375939876</v>
      </c>
      <c r="G21" s="9">
        <f t="shared" si="4"/>
        <v>5.3354052857706815</v>
      </c>
      <c r="H21" s="9">
        <f t="shared" si="5"/>
        <v>-5.5600000000000165</v>
      </c>
      <c r="I21" s="9">
        <f t="shared" si="6"/>
        <v>30.913600000000184</v>
      </c>
      <c r="J21" s="9">
        <f t="shared" si="7"/>
        <v>4.5</v>
      </c>
      <c r="K21" s="9">
        <f t="shared" si="8"/>
        <v>20.25</v>
      </c>
      <c r="L21" s="9">
        <f t="shared" si="9"/>
        <v>-25.020000000000074</v>
      </c>
    </row>
    <row r="22" spans="1:15" x14ac:dyDescent="0.3">
      <c r="A22" s="6">
        <v>16</v>
      </c>
      <c r="B22" s="6">
        <f t="shared" si="0"/>
        <v>19</v>
      </c>
      <c r="C22" s="7">
        <v>-88.1</v>
      </c>
      <c r="D22" s="8">
        <f t="shared" si="1"/>
        <v>-1673.8999999999999</v>
      </c>
      <c r="E22" s="8">
        <f t="shared" si="2"/>
        <v>361</v>
      </c>
      <c r="F22" s="9">
        <f t="shared" si="3"/>
        <v>-82.712406015037629</v>
      </c>
      <c r="G22" s="9">
        <f t="shared" si="4"/>
        <v>29.026168946802656</v>
      </c>
      <c r="H22" s="9">
        <f t="shared" si="5"/>
        <v>-9.3600000000000136</v>
      </c>
      <c r="I22" s="9">
        <f t="shared" si="6"/>
        <v>87.609600000000256</v>
      </c>
      <c r="J22" s="9">
        <f t="shared" si="7"/>
        <v>5.5</v>
      </c>
      <c r="K22" s="9">
        <f t="shared" si="8"/>
        <v>30.25</v>
      </c>
      <c r="L22" s="9">
        <f t="shared" si="9"/>
        <v>-51.480000000000075</v>
      </c>
      <c r="N22" s="13" t="s">
        <v>31</v>
      </c>
      <c r="O22" s="13" t="str">
        <f>"y = "&amp;TEXT(O15,"0.0000")&amp;"x + "&amp;TEXT(O16,"0.0000")</f>
        <v>y = -00.001x + -00.069</v>
      </c>
    </row>
    <row r="23" spans="1:15" x14ac:dyDescent="0.3">
      <c r="A23" s="6">
        <v>17</v>
      </c>
      <c r="B23" s="6">
        <f t="shared" si="0"/>
        <v>20</v>
      </c>
      <c r="C23" s="7">
        <v>-86.7</v>
      </c>
      <c r="D23" s="8">
        <f t="shared" si="1"/>
        <v>-1734</v>
      </c>
      <c r="E23" s="8">
        <f t="shared" si="2"/>
        <v>400</v>
      </c>
      <c r="F23" s="9">
        <f t="shared" si="3"/>
        <v>-83.434661654135382</v>
      </c>
      <c r="G23" s="9">
        <f t="shared" si="4"/>
        <v>10.662434512973896</v>
      </c>
      <c r="H23" s="9">
        <f t="shared" si="5"/>
        <v>-7.9600000000000222</v>
      </c>
      <c r="I23" s="9">
        <f t="shared" si="6"/>
        <v>63.361600000000351</v>
      </c>
      <c r="J23" s="9">
        <f t="shared" si="7"/>
        <v>6.5</v>
      </c>
      <c r="K23" s="9">
        <f t="shared" si="8"/>
        <v>42.25</v>
      </c>
      <c r="L23" s="9">
        <f t="shared" si="9"/>
        <v>-51.740000000000144</v>
      </c>
    </row>
    <row r="24" spans="1:15" x14ac:dyDescent="0.3">
      <c r="A24" s="6">
        <v>18</v>
      </c>
      <c r="B24" s="6">
        <f t="shared" si="0"/>
        <v>21</v>
      </c>
      <c r="C24" s="7">
        <v>-81.5</v>
      </c>
      <c r="D24" s="8">
        <f t="shared" si="1"/>
        <v>-1711.5</v>
      </c>
      <c r="E24" s="8">
        <f t="shared" si="2"/>
        <v>441</v>
      </c>
      <c r="F24" s="9">
        <f t="shared" si="3"/>
        <v>-84.156917293233136</v>
      </c>
      <c r="G24" s="9">
        <f t="shared" si="4"/>
        <v>7.0592095030812914</v>
      </c>
      <c r="H24" s="9">
        <f t="shared" si="5"/>
        <v>-2.7600000000000193</v>
      </c>
      <c r="I24" s="9">
        <f t="shared" si="6"/>
        <v>7.617600000000107</v>
      </c>
      <c r="J24" s="9">
        <f t="shared" si="7"/>
        <v>7.5</v>
      </c>
      <c r="K24" s="9">
        <f t="shared" si="8"/>
        <v>56.25</v>
      </c>
      <c r="L24" s="9">
        <f t="shared" si="9"/>
        <v>-20.700000000000145</v>
      </c>
    </row>
    <row r="25" spans="1:15" x14ac:dyDescent="0.3">
      <c r="A25" s="6">
        <v>19</v>
      </c>
      <c r="B25" s="6">
        <f t="shared" si="0"/>
        <v>22</v>
      </c>
      <c r="C25" s="7">
        <v>-79.099999999999994</v>
      </c>
      <c r="D25" s="8">
        <f t="shared" si="1"/>
        <v>-1740.1999999999998</v>
      </c>
      <c r="E25" s="8">
        <f t="shared" si="2"/>
        <v>484</v>
      </c>
      <c r="F25" s="9">
        <f t="shared" si="3"/>
        <v>-84.879172932330889</v>
      </c>
      <c r="G25" s="9">
        <f t="shared" si="4"/>
        <v>33.398839781786066</v>
      </c>
      <c r="H25" s="9">
        <f t="shared" si="5"/>
        <v>-0.36000000000001364</v>
      </c>
      <c r="I25" s="9">
        <f t="shared" si="6"/>
        <v>0.12960000000000982</v>
      </c>
      <c r="J25" s="9">
        <f t="shared" si="7"/>
        <v>8.5</v>
      </c>
      <c r="K25" s="9">
        <f t="shared" si="8"/>
        <v>72.25</v>
      </c>
      <c r="L25" s="9">
        <f t="shared" si="9"/>
        <v>-3.060000000000116</v>
      </c>
    </row>
    <row r="26" spans="1:15" x14ac:dyDescent="0.3">
      <c r="A26" s="6">
        <v>20</v>
      </c>
      <c r="B26" s="6">
        <f t="shared" si="0"/>
        <v>23</v>
      </c>
      <c r="C26" s="7">
        <v>-80.5</v>
      </c>
      <c r="D26" s="8">
        <f t="shared" si="1"/>
        <v>-1851.5</v>
      </c>
      <c r="E26" s="8">
        <f t="shared" si="2"/>
        <v>529</v>
      </c>
      <c r="F26" s="9">
        <f t="shared" si="3"/>
        <v>-85.601428571428642</v>
      </c>
      <c r="G26" s="9">
        <f t="shared" si="4"/>
        <v>26.024573469388471</v>
      </c>
      <c r="H26" s="9">
        <f t="shared" si="5"/>
        <v>-1.7600000000000193</v>
      </c>
      <c r="I26" s="9">
        <f t="shared" si="6"/>
        <v>3.0976000000000679</v>
      </c>
      <c r="J26" s="9">
        <f t="shared" si="7"/>
        <v>9.5</v>
      </c>
      <c r="K26" s="9">
        <f t="shared" si="8"/>
        <v>90.25</v>
      </c>
      <c r="L26" s="9">
        <f t="shared" si="9"/>
        <v>-16.720000000000184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6"/>
  <sheetViews>
    <sheetView tabSelected="1" zoomScaleNormal="100" workbookViewId="0">
      <pane ySplit="6" topLeftCell="A7" activePane="bottomLeft" state="frozen"/>
      <selection pane="bottomLeft" activeCell="D3" sqref="D3"/>
    </sheetView>
  </sheetViews>
  <sheetFormatPr baseColWidth="10" defaultColWidth="8.6640625" defaultRowHeight="14.4" x14ac:dyDescent="0.3"/>
  <cols>
    <col min="1" max="1" width="24" customWidth="1"/>
    <col min="2" max="12" width="15" customWidth="1"/>
    <col min="13" max="13" width="11" customWidth="1"/>
    <col min="14" max="14" width="18" customWidth="1"/>
    <col min="15" max="15" width="20" customWidth="1"/>
  </cols>
  <sheetData>
    <row r="1" spans="1:15" ht="17.399999999999999" x14ac:dyDescent="0.3">
      <c r="A1" s="1" t="s">
        <v>36</v>
      </c>
    </row>
    <row r="2" spans="1:15" x14ac:dyDescent="0.3">
      <c r="A2" s="2" t="s">
        <v>37</v>
      </c>
      <c r="B2" s="14" t="s">
        <v>38</v>
      </c>
      <c r="D2" s="4"/>
    </row>
    <row r="3" spans="1:15" x14ac:dyDescent="0.3">
      <c r="A3" s="2" t="s">
        <v>39</v>
      </c>
      <c r="B3" s="3">
        <v>100</v>
      </c>
      <c r="D3" s="4"/>
    </row>
    <row r="6" spans="1:15" ht="45" customHeight="1" x14ac:dyDescent="0.3">
      <c r="A6" s="5" t="s">
        <v>3</v>
      </c>
      <c r="B6" s="5" t="s">
        <v>35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40</v>
      </c>
      <c r="N6" s="5" t="s">
        <v>15</v>
      </c>
      <c r="O6" s="5" t="s">
        <v>16</v>
      </c>
    </row>
    <row r="7" spans="1:15" x14ac:dyDescent="0.3">
      <c r="A7" s="6">
        <v>1</v>
      </c>
      <c r="B7" s="15">
        <f>'30 puntos (cm)'!B7/$B$3</f>
        <v>1</v>
      </c>
      <c r="C7" s="16">
        <f>IF('30 puntos (cm)'!C7="","",'30 puntos (cm)'!C7)</f>
        <v>-49.9</v>
      </c>
      <c r="D7" s="8">
        <f t="shared" ref="D7:D38" si="0">IF(C7="","",B7*C7)</f>
        <v>-49.9</v>
      </c>
      <c r="E7" s="8">
        <f t="shared" ref="E7:E38" si="1">IF(C7="","",B7^2)</f>
        <v>1</v>
      </c>
      <c r="F7" s="9">
        <f t="shared" ref="F7:F38" si="2">IF(C7="","",$O$15*B7+$O$16)</f>
        <v>-59.124269233359861</v>
      </c>
      <c r="G7" s="9">
        <f t="shared" ref="G7:G38" si="3">IF(C7="","",(C7-F7)^2)</f>
        <v>85.087142889509352</v>
      </c>
      <c r="H7" s="9">
        <f t="shared" ref="H7:H38" si="4">IF(C7="","",C7-$O$11)</f>
        <v>17.679999999999986</v>
      </c>
      <c r="I7" s="9">
        <f t="shared" ref="I7:I38" si="5">IF(C7="","",H7^2)</f>
        <v>312.5823999999995</v>
      </c>
      <c r="J7" s="9">
        <f t="shared" ref="J7:J38" si="6">IF(C7="","",B7-$O$10)</f>
        <v>-5.87</v>
      </c>
      <c r="K7" s="9">
        <f t="shared" ref="K7:K38" si="7">IF(C7="","",J7^2)</f>
        <v>34.456900000000005</v>
      </c>
      <c r="L7" s="9">
        <f t="shared" ref="L7:L38" si="8">IF(C7="","",J7*H7)</f>
        <v>-103.78159999999991</v>
      </c>
      <c r="M7" s="6" t="s">
        <v>41</v>
      </c>
      <c r="N7" s="10" t="s">
        <v>17</v>
      </c>
      <c r="O7" s="11">
        <f>COUNT(C7:C56)</f>
        <v>50</v>
      </c>
    </row>
    <row r="8" spans="1:15" x14ac:dyDescent="0.3">
      <c r="A8" s="6">
        <v>2</v>
      </c>
      <c r="B8" s="15">
        <f>'30 puntos (cm)'!B8/$B$3</f>
        <v>1.1000000000000001</v>
      </c>
      <c r="C8" s="16">
        <f>IF('30 puntos (cm)'!C8="","",'30 puntos (cm)'!C8)</f>
        <v>-51.6</v>
      </c>
      <c r="D8" s="8">
        <f t="shared" si="0"/>
        <v>-56.760000000000005</v>
      </c>
      <c r="E8" s="8">
        <f t="shared" si="1"/>
        <v>1.2100000000000002</v>
      </c>
      <c r="F8" s="9">
        <f t="shared" si="2"/>
        <v>-59.268319161241294</v>
      </c>
      <c r="G8" s="9">
        <f t="shared" si="3"/>
        <v>58.803118758660361</v>
      </c>
      <c r="H8" s="9">
        <f t="shared" si="4"/>
        <v>15.979999999999983</v>
      </c>
      <c r="I8" s="9">
        <f t="shared" si="5"/>
        <v>255.36039999999946</v>
      </c>
      <c r="J8" s="9">
        <f t="shared" si="6"/>
        <v>-5.77</v>
      </c>
      <c r="K8" s="9">
        <f t="shared" si="7"/>
        <v>33.292899999999996</v>
      </c>
      <c r="L8" s="9">
        <f t="shared" si="8"/>
        <v>-92.2045999999999</v>
      </c>
      <c r="M8" s="6" t="s">
        <v>41</v>
      </c>
      <c r="N8" s="10" t="s">
        <v>18</v>
      </c>
      <c r="O8" s="11">
        <f>SUMIF(C7:C56,"&lt;&gt;",B7:B56)</f>
        <v>343.5</v>
      </c>
    </row>
    <row r="9" spans="1:15" x14ac:dyDescent="0.3">
      <c r="A9" s="6">
        <v>3</v>
      </c>
      <c r="B9" s="15">
        <f>'30 puntos (cm)'!B9/$B$3</f>
        <v>1.2</v>
      </c>
      <c r="C9" s="16">
        <f>IF('30 puntos (cm)'!C9="","",'30 puntos (cm)'!C9)</f>
        <v>-50.3</v>
      </c>
      <c r="D9" s="8">
        <f t="shared" si="0"/>
        <v>-60.359999999999992</v>
      </c>
      <c r="E9" s="8">
        <f t="shared" si="1"/>
        <v>1.44</v>
      </c>
      <c r="F9" s="9">
        <f t="shared" si="2"/>
        <v>-59.412369089122727</v>
      </c>
      <c r="G9" s="9">
        <f t="shared" si="3"/>
        <v>83.035270416399413</v>
      </c>
      <c r="H9" s="9">
        <f t="shared" si="4"/>
        <v>17.279999999999987</v>
      </c>
      <c r="I9" s="9">
        <f t="shared" si="5"/>
        <v>298.59839999999957</v>
      </c>
      <c r="J9" s="9">
        <f t="shared" si="6"/>
        <v>-5.67</v>
      </c>
      <c r="K9" s="9">
        <f t="shared" si="7"/>
        <v>32.148899999999998</v>
      </c>
      <c r="L9" s="9">
        <f t="shared" si="8"/>
        <v>-97.977599999999924</v>
      </c>
      <c r="M9" s="6" t="s">
        <v>41</v>
      </c>
      <c r="N9" s="10" t="s">
        <v>19</v>
      </c>
      <c r="O9" s="11">
        <f>SUM(C7:C56)</f>
        <v>-3378.9999999999995</v>
      </c>
    </row>
    <row r="10" spans="1:15" x14ac:dyDescent="0.3">
      <c r="A10" s="6">
        <v>4</v>
      </c>
      <c r="B10" s="15">
        <f>'30 puntos (cm)'!B10/$B$3</f>
        <v>1.3</v>
      </c>
      <c r="C10" s="16">
        <f>IF('30 puntos (cm)'!C10="","",'30 puntos (cm)'!C10)</f>
        <v>-51.4</v>
      </c>
      <c r="D10" s="8">
        <f t="shared" si="0"/>
        <v>-66.820000000000007</v>
      </c>
      <c r="E10" s="8">
        <f t="shared" si="1"/>
        <v>1.6900000000000002</v>
      </c>
      <c r="F10" s="9">
        <f t="shared" si="2"/>
        <v>-59.55641901700416</v>
      </c>
      <c r="G10" s="9">
        <f t="shared" si="3"/>
        <v>66.527171180947136</v>
      </c>
      <c r="H10" s="9">
        <f t="shared" si="4"/>
        <v>16.179999999999986</v>
      </c>
      <c r="I10" s="9">
        <f t="shared" si="5"/>
        <v>261.79239999999953</v>
      </c>
      <c r="J10" s="9">
        <f t="shared" si="6"/>
        <v>-5.57</v>
      </c>
      <c r="K10" s="9">
        <f t="shared" si="7"/>
        <v>31.024900000000002</v>
      </c>
      <c r="L10" s="9">
        <f t="shared" si="8"/>
        <v>-90.12259999999992</v>
      </c>
      <c r="M10" s="6" t="s">
        <v>41</v>
      </c>
      <c r="N10" s="10" t="s">
        <v>20</v>
      </c>
      <c r="O10" s="12">
        <f>O8/O7</f>
        <v>6.87</v>
      </c>
    </row>
    <row r="11" spans="1:15" x14ac:dyDescent="0.3">
      <c r="A11" s="6">
        <v>5</v>
      </c>
      <c r="B11" s="15">
        <f>'30 puntos (cm)'!B11/$B$3</f>
        <v>1.4</v>
      </c>
      <c r="C11" s="16">
        <f>IF('30 puntos (cm)'!C11="","",'30 puntos (cm)'!C11)</f>
        <v>-53</v>
      </c>
      <c r="D11" s="8">
        <f t="shared" si="0"/>
        <v>-74.199999999999989</v>
      </c>
      <c r="E11" s="8">
        <f t="shared" si="1"/>
        <v>1.9599999999999997</v>
      </c>
      <c r="F11" s="9">
        <f t="shared" si="2"/>
        <v>-59.700468944885593</v>
      </c>
      <c r="G11" s="9">
        <f t="shared" si="3"/>
        <v>44.896284081376251</v>
      </c>
      <c r="H11" s="9">
        <f t="shared" si="4"/>
        <v>14.579999999999984</v>
      </c>
      <c r="I11" s="9">
        <f t="shared" si="5"/>
        <v>212.57639999999952</v>
      </c>
      <c r="J11" s="9">
        <f t="shared" si="6"/>
        <v>-5.4700000000000006</v>
      </c>
      <c r="K11" s="9">
        <f t="shared" si="7"/>
        <v>29.920900000000007</v>
      </c>
      <c r="L11" s="9">
        <f t="shared" si="8"/>
        <v>-79.752599999999916</v>
      </c>
      <c r="M11" s="6" t="s">
        <v>41</v>
      </c>
      <c r="N11" s="10" t="s">
        <v>21</v>
      </c>
      <c r="O11" s="12">
        <f>O9/O7</f>
        <v>-67.579999999999984</v>
      </c>
    </row>
    <row r="12" spans="1:15" x14ac:dyDescent="0.3">
      <c r="A12" s="6">
        <v>6</v>
      </c>
      <c r="B12" s="15">
        <f>'30 puntos (cm)'!B12/$B$3</f>
        <v>1.5</v>
      </c>
      <c r="C12" s="16">
        <f>IF('30 puntos (cm)'!C12="","",'30 puntos (cm)'!C12)</f>
        <v>-54.4</v>
      </c>
      <c r="D12" s="8">
        <f t="shared" si="0"/>
        <v>-81.599999999999994</v>
      </c>
      <c r="E12" s="8">
        <f t="shared" si="1"/>
        <v>2.25</v>
      </c>
      <c r="F12" s="9">
        <f t="shared" si="2"/>
        <v>-59.844518872767026</v>
      </c>
      <c r="G12" s="9">
        <f t="shared" si="3"/>
        <v>29.642785755916339</v>
      </c>
      <c r="H12" s="9">
        <f t="shared" si="4"/>
        <v>13.179999999999986</v>
      </c>
      <c r="I12" s="9">
        <f t="shared" si="5"/>
        <v>173.7123999999996</v>
      </c>
      <c r="J12" s="9">
        <f t="shared" si="6"/>
        <v>-5.37</v>
      </c>
      <c r="K12" s="9">
        <f t="shared" si="7"/>
        <v>28.8369</v>
      </c>
      <c r="L12" s="9">
        <f t="shared" si="8"/>
        <v>-70.776599999999917</v>
      </c>
      <c r="M12" s="6" t="s">
        <v>41</v>
      </c>
      <c r="N12" s="10" t="s">
        <v>22</v>
      </c>
      <c r="O12" s="12">
        <f>SUM(E7:E56)</f>
        <v>4512.55</v>
      </c>
    </row>
    <row r="13" spans="1:15" x14ac:dyDescent="0.3">
      <c r="A13" s="6">
        <v>7</v>
      </c>
      <c r="B13" s="15">
        <f>'30 puntos (cm)'!B13/$B$3</f>
        <v>1.6</v>
      </c>
      <c r="C13" s="16">
        <f>IF('30 puntos (cm)'!C13="","",'30 puntos (cm)'!C13)</f>
        <v>-52.4</v>
      </c>
      <c r="D13" s="8">
        <f t="shared" si="0"/>
        <v>-83.84</v>
      </c>
      <c r="E13" s="8">
        <f t="shared" si="1"/>
        <v>2.5600000000000005</v>
      </c>
      <c r="F13" s="9">
        <f t="shared" si="2"/>
        <v>-59.988568800648459</v>
      </c>
      <c r="G13" s="9">
        <f t="shared" si="3"/>
        <v>57.586376442175208</v>
      </c>
      <c r="H13" s="9">
        <f t="shared" si="4"/>
        <v>15.179999999999986</v>
      </c>
      <c r="I13" s="9">
        <f t="shared" si="5"/>
        <v>230.43239999999955</v>
      </c>
      <c r="J13" s="9">
        <f t="shared" si="6"/>
        <v>-5.27</v>
      </c>
      <c r="K13" s="9">
        <f t="shared" si="7"/>
        <v>27.772899999999996</v>
      </c>
      <c r="L13" s="9">
        <f t="shared" si="8"/>
        <v>-79.998599999999911</v>
      </c>
      <c r="M13" s="6" t="s">
        <v>41</v>
      </c>
      <c r="N13" s="10" t="s">
        <v>23</v>
      </c>
      <c r="O13" s="12">
        <f>O8^2</f>
        <v>117992.25</v>
      </c>
    </row>
    <row r="14" spans="1:15" x14ac:dyDescent="0.3">
      <c r="A14" s="6">
        <v>8</v>
      </c>
      <c r="B14" s="15">
        <f>'30 puntos (cm)'!B14/$B$3</f>
        <v>1.7</v>
      </c>
      <c r="C14" s="16">
        <f>IF('30 puntos (cm)'!C14="","",'30 puntos (cm)'!C14)</f>
        <v>-52.2</v>
      </c>
      <c r="D14" s="8">
        <f t="shared" si="0"/>
        <v>-88.740000000000009</v>
      </c>
      <c r="E14" s="8">
        <f t="shared" si="1"/>
        <v>2.8899999999999997</v>
      </c>
      <c r="F14" s="9">
        <f t="shared" si="2"/>
        <v>-60.132618728529891</v>
      </c>
      <c r="G14" s="9">
        <f t="shared" si="3"/>
        <v>62.926439892223144</v>
      </c>
      <c r="H14" s="9">
        <f t="shared" si="4"/>
        <v>15.379999999999981</v>
      </c>
      <c r="I14" s="9">
        <f t="shared" si="5"/>
        <v>236.54439999999943</v>
      </c>
      <c r="J14" s="9">
        <f t="shared" si="6"/>
        <v>-5.17</v>
      </c>
      <c r="K14" s="9">
        <f t="shared" si="7"/>
        <v>26.728899999999999</v>
      </c>
      <c r="L14" s="9">
        <f t="shared" si="8"/>
        <v>-79.514599999999902</v>
      </c>
      <c r="M14" s="6" t="s">
        <v>41</v>
      </c>
      <c r="N14" s="10" t="s">
        <v>24</v>
      </c>
      <c r="O14" s="12">
        <f>SUM(D7:D56)</f>
        <v>-26314.700000000004</v>
      </c>
    </row>
    <row r="15" spans="1:15" x14ac:dyDescent="0.3">
      <c r="A15" s="6">
        <v>9</v>
      </c>
      <c r="B15" s="15">
        <f>'30 puntos (cm)'!B15/$B$3</f>
        <v>1.8</v>
      </c>
      <c r="C15" s="16">
        <f>IF('30 puntos (cm)'!C15="","",'30 puntos (cm)'!C15)</f>
        <v>-54.1</v>
      </c>
      <c r="D15" s="8">
        <f t="shared" si="0"/>
        <v>-97.38000000000001</v>
      </c>
      <c r="E15" s="8">
        <f t="shared" si="1"/>
        <v>3.24</v>
      </c>
      <c r="F15" s="9">
        <f t="shared" si="2"/>
        <v>-60.276668656411324</v>
      </c>
      <c r="G15" s="9">
        <f t="shared" si="3"/>
        <v>38.151235691094058</v>
      </c>
      <c r="H15" s="9">
        <f t="shared" si="4"/>
        <v>13.479999999999983</v>
      </c>
      <c r="I15" s="9">
        <f t="shared" si="5"/>
        <v>181.71039999999954</v>
      </c>
      <c r="J15" s="9">
        <f t="shared" si="6"/>
        <v>-5.07</v>
      </c>
      <c r="K15" s="9">
        <f t="shared" si="7"/>
        <v>25.704900000000002</v>
      </c>
      <c r="L15" s="9">
        <f t="shared" si="8"/>
        <v>-68.34359999999991</v>
      </c>
      <c r="M15" s="6" t="s">
        <v>41</v>
      </c>
      <c r="N15" s="10" t="s">
        <v>25</v>
      </c>
      <c r="O15" s="12">
        <f>(O7*O14-O8*O9)/(O7*O12-O13)</f>
        <v>-1.4404992788143334</v>
      </c>
    </row>
    <row r="16" spans="1:15" x14ac:dyDescent="0.3">
      <c r="A16" s="6">
        <v>10</v>
      </c>
      <c r="B16" s="15">
        <f>'30 puntos (cm)'!B16/$B$3</f>
        <v>1.9</v>
      </c>
      <c r="C16" s="16">
        <f>IF('30 puntos (cm)'!C16="","",'30 puntos (cm)'!C16)</f>
        <v>-58.8</v>
      </c>
      <c r="D16" s="8">
        <f t="shared" si="0"/>
        <v>-111.71999999999998</v>
      </c>
      <c r="E16" s="8">
        <f t="shared" si="1"/>
        <v>3.61</v>
      </c>
      <c r="F16" s="9">
        <f t="shared" si="2"/>
        <v>-60.420718584292757</v>
      </c>
      <c r="G16" s="9">
        <f t="shared" si="3"/>
        <v>2.6267287294719286</v>
      </c>
      <c r="H16" s="9">
        <f t="shared" si="4"/>
        <v>8.7799999999999869</v>
      </c>
      <c r="I16" s="9">
        <f t="shared" si="5"/>
        <v>77.088399999999766</v>
      </c>
      <c r="J16" s="9">
        <f t="shared" si="6"/>
        <v>-4.9700000000000006</v>
      </c>
      <c r="K16" s="9">
        <f t="shared" si="7"/>
        <v>24.700900000000008</v>
      </c>
      <c r="L16" s="9">
        <f t="shared" si="8"/>
        <v>-43.636599999999937</v>
      </c>
      <c r="M16" s="6" t="s">
        <v>41</v>
      </c>
      <c r="N16" s="10" t="s">
        <v>26</v>
      </c>
      <c r="O16" s="12">
        <f>(O9-O15*O8)/O7</f>
        <v>-57.683769954545525</v>
      </c>
    </row>
    <row r="17" spans="1:15" x14ac:dyDescent="0.3">
      <c r="A17" s="6">
        <v>11</v>
      </c>
      <c r="B17" s="15">
        <f>'30 puntos (cm)'!B17/$B$3</f>
        <v>2</v>
      </c>
      <c r="C17" s="16">
        <f>IF('30 puntos (cm)'!C17="","",'30 puntos (cm)'!C17)</f>
        <v>-60.8</v>
      </c>
      <c r="D17" s="8">
        <f t="shared" si="0"/>
        <v>-121.6</v>
      </c>
      <c r="E17" s="8">
        <f t="shared" si="1"/>
        <v>4</v>
      </c>
      <c r="F17" s="9">
        <f t="shared" si="2"/>
        <v>-60.56476851217419</v>
      </c>
      <c r="G17" s="9">
        <f t="shared" si="3"/>
        <v>5.5333852864742808E-2</v>
      </c>
      <c r="H17" s="9">
        <f t="shared" si="4"/>
        <v>6.7799999999999869</v>
      </c>
      <c r="I17" s="9">
        <f t="shared" si="5"/>
        <v>45.968399999999825</v>
      </c>
      <c r="J17" s="9">
        <f t="shared" si="6"/>
        <v>-4.87</v>
      </c>
      <c r="K17" s="9">
        <f t="shared" si="7"/>
        <v>23.716900000000003</v>
      </c>
      <c r="L17" s="9">
        <f t="shared" si="8"/>
        <v>-33.018599999999935</v>
      </c>
      <c r="M17" s="6" t="s">
        <v>41</v>
      </c>
      <c r="N17" s="10" t="s">
        <v>27</v>
      </c>
      <c r="O17" s="12">
        <f>SUM(I7:I56)</f>
        <v>6155.8199999999988</v>
      </c>
    </row>
    <row r="18" spans="1:15" x14ac:dyDescent="0.3">
      <c r="A18" s="6">
        <v>12</v>
      </c>
      <c r="B18" s="15">
        <f>'30 puntos (cm)'!B18/$B$3</f>
        <v>2.1</v>
      </c>
      <c r="C18" s="16">
        <f>IF('30 puntos (cm)'!C18="","",'30 puntos (cm)'!C18)</f>
        <v>-55.8</v>
      </c>
      <c r="D18" s="8">
        <f t="shared" si="0"/>
        <v>-117.17999999999999</v>
      </c>
      <c r="E18" s="8">
        <f t="shared" si="1"/>
        <v>4.41</v>
      </c>
      <c r="F18" s="9">
        <f t="shared" si="2"/>
        <v>-60.708818440055623</v>
      </c>
      <c r="G18" s="9">
        <f t="shared" si="3"/>
        <v>24.096498477430149</v>
      </c>
      <c r="H18" s="9">
        <f t="shared" si="4"/>
        <v>11.779999999999987</v>
      </c>
      <c r="I18" s="9">
        <f t="shared" si="5"/>
        <v>138.7683999999997</v>
      </c>
      <c r="J18" s="9">
        <f t="shared" si="6"/>
        <v>-4.7699999999999996</v>
      </c>
      <c r="K18" s="9">
        <f t="shared" si="7"/>
        <v>22.752899999999997</v>
      </c>
      <c r="L18" s="9">
        <f t="shared" si="8"/>
        <v>-56.190599999999932</v>
      </c>
      <c r="M18" s="6" t="s">
        <v>41</v>
      </c>
      <c r="N18" s="10" t="s">
        <v>28</v>
      </c>
      <c r="O18" s="12">
        <f>SUM(G7:G56)</f>
        <v>1688.87495137513</v>
      </c>
    </row>
    <row r="19" spans="1:15" x14ac:dyDescent="0.3">
      <c r="A19" s="6">
        <v>13</v>
      </c>
      <c r="B19" s="15">
        <f>'30 puntos (cm)'!B19/$B$3</f>
        <v>2.2000000000000002</v>
      </c>
      <c r="C19" s="16">
        <f>IF('30 puntos (cm)'!C19="","",'30 puntos (cm)'!C19)</f>
        <v>-57.9</v>
      </c>
      <c r="D19" s="8">
        <f t="shared" si="0"/>
        <v>-127.38000000000001</v>
      </c>
      <c r="E19" s="8">
        <f t="shared" si="1"/>
        <v>4.8400000000000007</v>
      </c>
      <c r="F19" s="9">
        <f t="shared" si="2"/>
        <v>-60.852868367937056</v>
      </c>
      <c r="G19" s="9">
        <f t="shared" si="3"/>
        <v>8.7194315983632613</v>
      </c>
      <c r="H19" s="9">
        <f t="shared" si="4"/>
        <v>9.6799999999999855</v>
      </c>
      <c r="I19" s="9">
        <f t="shared" si="5"/>
        <v>93.702399999999713</v>
      </c>
      <c r="J19" s="9">
        <f t="shared" si="6"/>
        <v>-4.67</v>
      </c>
      <c r="K19" s="9">
        <f t="shared" si="7"/>
        <v>21.808899999999998</v>
      </c>
      <c r="L19" s="9">
        <f t="shared" si="8"/>
        <v>-45.205599999999933</v>
      </c>
      <c r="M19" s="6" t="s">
        <v>41</v>
      </c>
      <c r="N19" s="10" t="s">
        <v>29</v>
      </c>
      <c r="O19" s="12">
        <f>IFERROR((O17-O18)/O17,"")</f>
        <v>0.72564581950493512</v>
      </c>
    </row>
    <row r="20" spans="1:15" x14ac:dyDescent="0.3">
      <c r="A20" s="6">
        <v>14</v>
      </c>
      <c r="B20" s="15">
        <f>'30 puntos (cm)'!B20/$B$3</f>
        <v>2.2999999999999998</v>
      </c>
      <c r="C20" s="16">
        <f>IF('30 puntos (cm)'!C20="","",'30 puntos (cm)'!C20)</f>
        <v>-58.4</v>
      </c>
      <c r="D20" s="8">
        <f t="shared" si="0"/>
        <v>-134.32</v>
      </c>
      <c r="E20" s="8">
        <f t="shared" si="1"/>
        <v>5.2899999999999991</v>
      </c>
      <c r="F20" s="9">
        <f t="shared" si="2"/>
        <v>-60.996918295818489</v>
      </c>
      <c r="G20" s="9">
        <f t="shared" si="3"/>
        <v>6.7439846351568118</v>
      </c>
      <c r="H20" s="9">
        <f t="shared" si="4"/>
        <v>9.1799999999999855</v>
      </c>
      <c r="I20" s="9">
        <f t="shared" si="5"/>
        <v>84.272399999999735</v>
      </c>
      <c r="J20" s="9">
        <f t="shared" si="6"/>
        <v>-4.57</v>
      </c>
      <c r="K20" s="9">
        <f t="shared" si="7"/>
        <v>20.884900000000002</v>
      </c>
      <c r="L20" s="9">
        <f t="shared" si="8"/>
        <v>-41.952599999999933</v>
      </c>
      <c r="M20" s="6" t="s">
        <v>41</v>
      </c>
      <c r="N20" s="10" t="s">
        <v>30</v>
      </c>
      <c r="O20" s="12">
        <f>IFERROR(SUM(L7:L56)/SQRT(SUM(K7:K56)*SUM(I7:I56)),"")</f>
        <v>-0.85184847215037929</v>
      </c>
    </row>
    <row r="21" spans="1:15" x14ac:dyDescent="0.3">
      <c r="A21" s="6">
        <v>15</v>
      </c>
      <c r="B21" s="15">
        <f>'30 puntos (cm)'!B21/$B$3</f>
        <v>2.4</v>
      </c>
      <c r="C21" s="16">
        <f>IF('30 puntos (cm)'!C21="","",'30 puntos (cm)'!C21)</f>
        <v>-60.9</v>
      </c>
      <c r="D21" s="8">
        <f t="shared" si="0"/>
        <v>-146.16</v>
      </c>
      <c r="E21" s="8">
        <f t="shared" si="1"/>
        <v>5.76</v>
      </c>
      <c r="F21" s="9">
        <f t="shared" si="2"/>
        <v>-61.140968223699929</v>
      </c>
      <c r="G21" s="9">
        <f t="shared" si="3"/>
        <v>5.8065684833099603E-2</v>
      </c>
      <c r="H21" s="9">
        <f t="shared" si="4"/>
        <v>6.6799999999999855</v>
      </c>
      <c r="I21" s="9">
        <f t="shared" si="5"/>
        <v>44.622399999999807</v>
      </c>
      <c r="J21" s="9">
        <f t="shared" si="6"/>
        <v>-4.4700000000000006</v>
      </c>
      <c r="K21" s="9">
        <f t="shared" si="7"/>
        <v>19.980900000000005</v>
      </c>
      <c r="L21" s="9">
        <f t="shared" si="8"/>
        <v>-29.85959999999994</v>
      </c>
      <c r="M21" s="6" t="s">
        <v>41</v>
      </c>
    </row>
    <row r="22" spans="1:15" x14ac:dyDescent="0.3">
      <c r="A22" s="6">
        <v>16</v>
      </c>
      <c r="B22" s="15">
        <f>'30 puntos (cm)'!B22/$B$3</f>
        <v>2.5</v>
      </c>
      <c r="C22" s="16">
        <f>IF('30 puntos (cm)'!C22="","",'30 puntos (cm)'!C22)</f>
        <v>-59.3</v>
      </c>
      <c r="D22" s="8">
        <f t="shared" si="0"/>
        <v>-148.25</v>
      </c>
      <c r="E22" s="8">
        <f t="shared" si="1"/>
        <v>6.25</v>
      </c>
      <c r="F22" s="9">
        <f t="shared" si="2"/>
        <v>-61.285018151581362</v>
      </c>
      <c r="G22" s="9">
        <f t="shared" si="3"/>
        <v>3.9402970621074971</v>
      </c>
      <c r="H22" s="9">
        <f t="shared" si="4"/>
        <v>8.2799999999999869</v>
      </c>
      <c r="I22" s="9">
        <f t="shared" si="5"/>
        <v>68.558399999999779</v>
      </c>
      <c r="J22" s="9">
        <f t="shared" si="6"/>
        <v>-4.37</v>
      </c>
      <c r="K22" s="9">
        <f t="shared" si="7"/>
        <v>19.096900000000002</v>
      </c>
      <c r="L22" s="9">
        <f t="shared" si="8"/>
        <v>-36.183599999999942</v>
      </c>
      <c r="M22" s="6" t="s">
        <v>41</v>
      </c>
      <c r="N22" s="13" t="s">
        <v>31</v>
      </c>
      <c r="O22" s="13" t="str">
        <f>"y = "&amp;TEXT(O15,"0.0000")&amp;"x + "&amp;TEXT(O16,"0.0000")</f>
        <v>y = -00.001x + -00.058</v>
      </c>
    </row>
    <row r="23" spans="1:15" x14ac:dyDescent="0.3">
      <c r="A23" s="6">
        <v>17</v>
      </c>
      <c r="B23" s="15">
        <f>'30 puntos (cm)'!B23/$B$3</f>
        <v>2.6</v>
      </c>
      <c r="C23" s="16">
        <f>IF('30 puntos (cm)'!C23="","",'30 puntos (cm)'!C23)</f>
        <v>-65.099999999999994</v>
      </c>
      <c r="D23" s="8">
        <f t="shared" si="0"/>
        <v>-169.26</v>
      </c>
      <c r="E23" s="8">
        <f t="shared" si="1"/>
        <v>6.7600000000000007</v>
      </c>
      <c r="F23" s="9">
        <f t="shared" si="2"/>
        <v>-61.429068079462795</v>
      </c>
      <c r="G23" s="9">
        <f t="shared" si="3"/>
        <v>13.475741165218933</v>
      </c>
      <c r="H23" s="9">
        <f t="shared" si="4"/>
        <v>2.4799999999999898</v>
      </c>
      <c r="I23" s="9">
        <f t="shared" si="5"/>
        <v>6.1503999999999497</v>
      </c>
      <c r="J23" s="9">
        <f t="shared" si="6"/>
        <v>-4.2699999999999996</v>
      </c>
      <c r="K23" s="9">
        <f t="shared" si="7"/>
        <v>18.232899999999997</v>
      </c>
      <c r="L23" s="9">
        <f t="shared" si="8"/>
        <v>-10.589599999999955</v>
      </c>
      <c r="M23" s="6" t="s">
        <v>41</v>
      </c>
    </row>
    <row r="24" spans="1:15" x14ac:dyDescent="0.3">
      <c r="A24" s="6">
        <v>18</v>
      </c>
      <c r="B24" s="15">
        <f>'30 puntos (cm)'!B24/$B$3</f>
        <v>2.7</v>
      </c>
      <c r="C24" s="16">
        <f>IF('30 puntos (cm)'!C24="","",'30 puntos (cm)'!C24)</f>
        <v>-65.400000000000006</v>
      </c>
      <c r="D24" s="8">
        <f t="shared" si="0"/>
        <v>-176.58000000000004</v>
      </c>
      <c r="E24" s="8">
        <f t="shared" si="1"/>
        <v>7.2900000000000009</v>
      </c>
      <c r="F24" s="9">
        <f t="shared" si="2"/>
        <v>-61.573118007344227</v>
      </c>
      <c r="G24" s="9">
        <f t="shared" si="3"/>
        <v>14.645025785713059</v>
      </c>
      <c r="H24" s="9">
        <f t="shared" si="4"/>
        <v>2.1799999999999784</v>
      </c>
      <c r="I24" s="9">
        <f t="shared" si="5"/>
        <v>4.7523999999999056</v>
      </c>
      <c r="J24" s="9">
        <f t="shared" si="6"/>
        <v>-4.17</v>
      </c>
      <c r="K24" s="9">
        <f t="shared" si="7"/>
        <v>17.3889</v>
      </c>
      <c r="L24" s="9">
        <f t="shared" si="8"/>
        <v>-9.0905999999999096</v>
      </c>
      <c r="M24" s="6" t="s">
        <v>41</v>
      </c>
    </row>
    <row r="25" spans="1:15" x14ac:dyDescent="0.3">
      <c r="A25" s="6">
        <v>19</v>
      </c>
      <c r="B25" s="15">
        <f>'30 puntos (cm)'!B25/$B$3</f>
        <v>2.8</v>
      </c>
      <c r="C25" s="16">
        <f>IF('30 puntos (cm)'!C25="","",'30 puntos (cm)'!C25)</f>
        <v>-70.599999999999994</v>
      </c>
      <c r="D25" s="8">
        <f t="shared" si="0"/>
        <v>-197.67999999999998</v>
      </c>
      <c r="E25" s="8">
        <f t="shared" si="1"/>
        <v>7.839999999999999</v>
      </c>
      <c r="F25" s="9">
        <f t="shared" si="2"/>
        <v>-61.71716793522566</v>
      </c>
      <c r="G25" s="9">
        <f t="shared" si="3"/>
        <v>78.904705490983062</v>
      </c>
      <c r="H25" s="9">
        <f t="shared" si="4"/>
        <v>-3.0200000000000102</v>
      </c>
      <c r="I25" s="9">
        <f t="shared" si="5"/>
        <v>9.1204000000000622</v>
      </c>
      <c r="J25" s="9">
        <f t="shared" si="6"/>
        <v>-4.07</v>
      </c>
      <c r="K25" s="9">
        <f t="shared" si="7"/>
        <v>16.564900000000002</v>
      </c>
      <c r="L25" s="9">
        <f t="shared" si="8"/>
        <v>12.291400000000042</v>
      </c>
      <c r="M25" s="6" t="s">
        <v>41</v>
      </c>
    </row>
    <row r="26" spans="1:15" x14ac:dyDescent="0.3">
      <c r="A26" s="6">
        <v>20</v>
      </c>
      <c r="B26" s="15">
        <f>'30 puntos (cm)'!B26/$B$3</f>
        <v>2.9</v>
      </c>
      <c r="C26" s="16">
        <f>IF('30 puntos (cm)'!C26="","",'30 puntos (cm)'!C26)</f>
        <v>-60.9</v>
      </c>
      <c r="D26" s="8">
        <f t="shared" si="0"/>
        <v>-176.60999999999999</v>
      </c>
      <c r="E26" s="8">
        <f t="shared" si="1"/>
        <v>8.41</v>
      </c>
      <c r="F26" s="9">
        <f t="shared" si="2"/>
        <v>-61.861217863107093</v>
      </c>
      <c r="G26" s="9">
        <f t="shared" si="3"/>
        <v>0.92393978035616942</v>
      </c>
      <c r="H26" s="9">
        <f t="shared" si="4"/>
        <v>6.6799999999999855</v>
      </c>
      <c r="I26" s="9">
        <f t="shared" si="5"/>
        <v>44.622399999999807</v>
      </c>
      <c r="J26" s="9">
        <f t="shared" si="6"/>
        <v>-3.97</v>
      </c>
      <c r="K26" s="9">
        <f t="shared" si="7"/>
        <v>15.760900000000001</v>
      </c>
      <c r="L26" s="9">
        <f t="shared" si="8"/>
        <v>-26.519599999999944</v>
      </c>
      <c r="M26" s="6" t="s">
        <v>41</v>
      </c>
    </row>
    <row r="27" spans="1:15" x14ac:dyDescent="0.3">
      <c r="A27" s="6">
        <v>21</v>
      </c>
      <c r="B27" s="15">
        <f>'30 puntos (cm)'!B27/$B$3</f>
        <v>3</v>
      </c>
      <c r="C27" s="16">
        <f>IF('30 puntos (cm)'!C27="","",'30 puntos (cm)'!C27)</f>
        <v>-63.3</v>
      </c>
      <c r="D27" s="8">
        <f t="shared" si="0"/>
        <v>-189.89999999999998</v>
      </c>
      <c r="E27" s="8">
        <f t="shared" si="1"/>
        <v>9</v>
      </c>
      <c r="F27" s="9">
        <f t="shared" si="2"/>
        <v>-62.005267790988526</v>
      </c>
      <c r="G27" s="9">
        <f t="shared" si="3"/>
        <v>1.6763314930517235</v>
      </c>
      <c r="H27" s="9">
        <f t="shared" si="4"/>
        <v>4.2799999999999869</v>
      </c>
      <c r="I27" s="9">
        <f t="shared" si="5"/>
        <v>18.318399999999887</v>
      </c>
      <c r="J27" s="9">
        <f t="shared" si="6"/>
        <v>-3.87</v>
      </c>
      <c r="K27" s="9">
        <f t="shared" si="7"/>
        <v>14.976900000000001</v>
      </c>
      <c r="L27" s="9">
        <f t="shared" si="8"/>
        <v>-16.563599999999951</v>
      </c>
      <c r="M27" s="6" t="s">
        <v>41</v>
      </c>
    </row>
    <row r="28" spans="1:15" x14ac:dyDescent="0.3">
      <c r="A28" s="6">
        <v>22</v>
      </c>
      <c r="B28" s="15">
        <f>'30 puntos (cm)'!B28/$B$3</f>
        <v>3.1</v>
      </c>
      <c r="C28" s="16">
        <f>IF('30 puntos (cm)'!C28="","",'30 puntos (cm)'!C28)</f>
        <v>-63.7</v>
      </c>
      <c r="D28" s="8">
        <f t="shared" si="0"/>
        <v>-197.47000000000003</v>
      </c>
      <c r="E28" s="8">
        <f t="shared" si="1"/>
        <v>9.6100000000000012</v>
      </c>
      <c r="F28" s="9">
        <f t="shared" si="2"/>
        <v>-62.149317718869959</v>
      </c>
      <c r="G28" s="9">
        <f t="shared" si="3"/>
        <v>2.4046155370106761</v>
      </c>
      <c r="H28" s="9">
        <f t="shared" si="4"/>
        <v>3.8799999999999812</v>
      </c>
      <c r="I28" s="9">
        <f t="shared" si="5"/>
        <v>15.054399999999854</v>
      </c>
      <c r="J28" s="9">
        <f t="shared" si="6"/>
        <v>-3.77</v>
      </c>
      <c r="K28" s="9">
        <f t="shared" si="7"/>
        <v>14.212899999999999</v>
      </c>
      <c r="L28" s="9">
        <f t="shared" si="8"/>
        <v>-14.62759999999993</v>
      </c>
      <c r="M28" s="6" t="s">
        <v>41</v>
      </c>
    </row>
    <row r="29" spans="1:15" x14ac:dyDescent="0.3">
      <c r="A29" s="6">
        <v>23</v>
      </c>
      <c r="B29" s="15">
        <f>'30 puntos (cm)'!B29/$B$3</f>
        <v>3.2</v>
      </c>
      <c r="C29" s="16">
        <f>IF('30 puntos (cm)'!C29="","",'30 puntos (cm)'!C29)</f>
        <v>-59.7</v>
      </c>
      <c r="D29" s="8">
        <f t="shared" si="0"/>
        <v>-191.04000000000002</v>
      </c>
      <c r="E29" s="8">
        <f t="shared" si="1"/>
        <v>10.240000000000002</v>
      </c>
      <c r="F29" s="9">
        <f t="shared" si="2"/>
        <v>-62.293367646751392</v>
      </c>
      <c r="G29" s="9">
        <f t="shared" si="3"/>
        <v>6.725555751216838</v>
      </c>
      <c r="H29" s="9">
        <f t="shared" si="4"/>
        <v>7.8799999999999812</v>
      </c>
      <c r="I29" s="9">
        <f t="shared" si="5"/>
        <v>62.094399999999702</v>
      </c>
      <c r="J29" s="9">
        <f t="shared" si="6"/>
        <v>-3.67</v>
      </c>
      <c r="K29" s="9">
        <f t="shared" si="7"/>
        <v>13.4689</v>
      </c>
      <c r="L29" s="9">
        <f t="shared" si="8"/>
        <v>-28.919599999999932</v>
      </c>
      <c r="M29" s="6" t="s">
        <v>41</v>
      </c>
    </row>
    <row r="30" spans="1:15" x14ac:dyDescent="0.3">
      <c r="A30" s="6">
        <v>24</v>
      </c>
      <c r="B30" s="15">
        <f>'30 puntos (cm)'!B30/$B$3</f>
        <v>3.3</v>
      </c>
      <c r="C30" s="16">
        <f>IF('30 puntos (cm)'!C30="","",'30 puntos (cm)'!C30)</f>
        <v>-68.599999999999994</v>
      </c>
      <c r="D30" s="8">
        <f t="shared" si="0"/>
        <v>-226.37999999999997</v>
      </c>
      <c r="E30" s="8">
        <f t="shared" si="1"/>
        <v>10.889999999999999</v>
      </c>
      <c r="F30" s="9">
        <f t="shared" si="2"/>
        <v>-62.437417574632825</v>
      </c>
      <c r="G30" s="9">
        <f t="shared" si="3"/>
        <v>37.977422149444308</v>
      </c>
      <c r="H30" s="9">
        <f t="shared" si="4"/>
        <v>-1.0200000000000102</v>
      </c>
      <c r="I30" s="9">
        <f t="shared" si="5"/>
        <v>1.0404000000000209</v>
      </c>
      <c r="J30" s="9">
        <f t="shared" si="6"/>
        <v>-3.5700000000000003</v>
      </c>
      <c r="K30" s="9">
        <f t="shared" si="7"/>
        <v>12.744900000000001</v>
      </c>
      <c r="L30" s="9">
        <f t="shared" si="8"/>
        <v>3.6414000000000368</v>
      </c>
      <c r="M30" s="6" t="s">
        <v>41</v>
      </c>
    </row>
    <row r="31" spans="1:15" x14ac:dyDescent="0.3">
      <c r="A31" s="6">
        <v>25</v>
      </c>
      <c r="B31" s="15">
        <f>'30 puntos (cm)'!B31/$B$3</f>
        <v>3.4</v>
      </c>
      <c r="C31" s="16">
        <f>IF('30 puntos (cm)'!C31="","",'30 puntos (cm)'!C31)</f>
        <v>-61.4</v>
      </c>
      <c r="D31" s="8">
        <f t="shared" si="0"/>
        <v>-208.76</v>
      </c>
      <c r="E31" s="8">
        <f t="shared" si="1"/>
        <v>11.559999999999999</v>
      </c>
      <c r="F31" s="9">
        <f t="shared" si="2"/>
        <v>-62.581467502514258</v>
      </c>
      <c r="G31" s="9">
        <f t="shared" si="3"/>
        <v>1.395865459497281</v>
      </c>
      <c r="H31" s="9">
        <f t="shared" si="4"/>
        <v>6.1799999999999855</v>
      </c>
      <c r="I31" s="9">
        <f t="shared" si="5"/>
        <v>38.192399999999822</v>
      </c>
      <c r="J31" s="9">
        <f t="shared" si="6"/>
        <v>-3.47</v>
      </c>
      <c r="K31" s="9">
        <f t="shared" si="7"/>
        <v>12.040900000000001</v>
      </c>
      <c r="L31" s="9">
        <f t="shared" si="8"/>
        <v>-21.444599999999951</v>
      </c>
      <c r="M31" s="6" t="s">
        <v>41</v>
      </c>
    </row>
    <row r="32" spans="1:15" x14ac:dyDescent="0.3">
      <c r="A32" s="6">
        <v>26</v>
      </c>
      <c r="B32" s="15">
        <f>'30 puntos (cm)'!B32/$B$3</f>
        <v>3.5</v>
      </c>
      <c r="C32" s="16">
        <f>IF('30 puntos (cm)'!C32="","",'30 puntos (cm)'!C32)</f>
        <v>-69.2</v>
      </c>
      <c r="D32" s="8">
        <f t="shared" si="0"/>
        <v>-242.20000000000002</v>
      </c>
      <c r="E32" s="8">
        <f t="shared" si="1"/>
        <v>12.25</v>
      </c>
      <c r="F32" s="9">
        <f t="shared" si="2"/>
        <v>-62.725517430395691</v>
      </c>
      <c r="G32" s="9">
        <f t="shared" si="3"/>
        <v>41.918924544110055</v>
      </c>
      <c r="H32" s="9">
        <f t="shared" si="4"/>
        <v>-1.6200000000000188</v>
      </c>
      <c r="I32" s="9">
        <f t="shared" si="5"/>
        <v>2.6244000000000609</v>
      </c>
      <c r="J32" s="9">
        <f t="shared" si="6"/>
        <v>-3.37</v>
      </c>
      <c r="K32" s="9">
        <f t="shared" si="7"/>
        <v>11.356900000000001</v>
      </c>
      <c r="L32" s="9">
        <f t="shared" si="8"/>
        <v>5.4594000000000635</v>
      </c>
      <c r="M32" s="6" t="s">
        <v>41</v>
      </c>
    </row>
    <row r="33" spans="1:13" x14ac:dyDescent="0.3">
      <c r="A33" s="6">
        <v>27</v>
      </c>
      <c r="B33" s="15">
        <f>'30 puntos (cm)'!B33/$B$3</f>
        <v>3.6</v>
      </c>
      <c r="C33" s="16">
        <f>IF('30 puntos (cm)'!C33="","",'30 puntos (cm)'!C33)</f>
        <v>-63.7</v>
      </c>
      <c r="D33" s="8">
        <f t="shared" si="0"/>
        <v>-229.32000000000002</v>
      </c>
      <c r="E33" s="8">
        <f t="shared" si="1"/>
        <v>12.96</v>
      </c>
      <c r="F33" s="9">
        <f t="shared" si="2"/>
        <v>-62.869567358277124</v>
      </c>
      <c r="G33" s="9">
        <f t="shared" si="3"/>
        <v>0.68961837243884005</v>
      </c>
      <c r="H33" s="9">
        <f t="shared" si="4"/>
        <v>3.8799999999999812</v>
      </c>
      <c r="I33" s="9">
        <f t="shared" si="5"/>
        <v>15.054399999999854</v>
      </c>
      <c r="J33" s="9">
        <f t="shared" si="6"/>
        <v>-3.27</v>
      </c>
      <c r="K33" s="9">
        <f t="shared" si="7"/>
        <v>10.6929</v>
      </c>
      <c r="L33" s="9">
        <f t="shared" si="8"/>
        <v>-12.687599999999939</v>
      </c>
      <c r="M33" s="6" t="s">
        <v>41</v>
      </c>
    </row>
    <row r="34" spans="1:13" x14ac:dyDescent="0.3">
      <c r="A34" s="6">
        <v>28</v>
      </c>
      <c r="B34" s="15">
        <f>'30 puntos (cm)'!B34/$B$3</f>
        <v>3.7</v>
      </c>
      <c r="C34" s="16">
        <f>IF('30 puntos (cm)'!C34="","",'30 puntos (cm)'!C34)</f>
        <v>-71.8</v>
      </c>
      <c r="D34" s="8">
        <f t="shared" si="0"/>
        <v>-265.66000000000003</v>
      </c>
      <c r="E34" s="8">
        <f t="shared" si="1"/>
        <v>13.690000000000001</v>
      </c>
      <c r="F34" s="9">
        <f t="shared" si="2"/>
        <v>-63.013617286158556</v>
      </c>
      <c r="G34" s="9">
        <f t="shared" si="3"/>
        <v>77.200521194091678</v>
      </c>
      <c r="H34" s="9">
        <f t="shared" si="4"/>
        <v>-4.2200000000000131</v>
      </c>
      <c r="I34" s="9">
        <f t="shared" si="5"/>
        <v>17.808400000000109</v>
      </c>
      <c r="J34" s="9">
        <f t="shared" si="6"/>
        <v>-3.17</v>
      </c>
      <c r="K34" s="9">
        <f t="shared" si="7"/>
        <v>10.0489</v>
      </c>
      <c r="L34" s="9">
        <f t="shared" si="8"/>
        <v>13.377400000000041</v>
      </c>
      <c r="M34" s="6" t="s">
        <v>41</v>
      </c>
    </row>
    <row r="35" spans="1:13" x14ac:dyDescent="0.3">
      <c r="A35" s="6">
        <v>29</v>
      </c>
      <c r="B35" s="15">
        <f>'30 puntos (cm)'!B35/$B$3</f>
        <v>3.8</v>
      </c>
      <c r="C35" s="16">
        <f>IF('30 puntos (cm)'!C35="","",'30 puntos (cm)'!C35)</f>
        <v>-69.099999999999994</v>
      </c>
      <c r="D35" s="8">
        <f t="shared" si="0"/>
        <v>-262.58</v>
      </c>
      <c r="E35" s="8">
        <f t="shared" si="1"/>
        <v>14.44</v>
      </c>
      <c r="F35" s="9">
        <f t="shared" si="2"/>
        <v>-63.157667214039989</v>
      </c>
      <c r="G35" s="9">
        <f t="shared" si="3"/>
        <v>35.311318939095194</v>
      </c>
      <c r="H35" s="9">
        <f t="shared" si="4"/>
        <v>-1.5200000000000102</v>
      </c>
      <c r="I35" s="9">
        <f t="shared" si="5"/>
        <v>2.3104000000000311</v>
      </c>
      <c r="J35" s="9">
        <f t="shared" si="6"/>
        <v>-3.0700000000000003</v>
      </c>
      <c r="K35" s="9">
        <f t="shared" si="7"/>
        <v>9.4249000000000009</v>
      </c>
      <c r="L35" s="9">
        <f t="shared" si="8"/>
        <v>4.6664000000000314</v>
      </c>
      <c r="M35" s="6" t="s">
        <v>41</v>
      </c>
    </row>
    <row r="36" spans="1:13" x14ac:dyDescent="0.3">
      <c r="A36" s="6">
        <v>30</v>
      </c>
      <c r="B36" s="15">
        <f>'30 puntos (cm)'!B36/$B$3</f>
        <v>3.9</v>
      </c>
      <c r="C36" s="16">
        <f>IF('30 puntos (cm)'!C36="","",'30 puntos (cm)'!C36)</f>
        <v>-70.5</v>
      </c>
      <c r="D36" s="8">
        <f t="shared" si="0"/>
        <v>-274.95</v>
      </c>
      <c r="E36" s="8">
        <f t="shared" si="1"/>
        <v>15.209999999999999</v>
      </c>
      <c r="F36" s="9">
        <f t="shared" si="2"/>
        <v>-63.301717141921422</v>
      </c>
      <c r="G36" s="9">
        <f t="shared" si="3"/>
        <v>51.815276104907902</v>
      </c>
      <c r="H36" s="9">
        <f t="shared" si="4"/>
        <v>-2.9200000000000159</v>
      </c>
      <c r="I36" s="9">
        <f t="shared" si="5"/>
        <v>8.526400000000093</v>
      </c>
      <c r="J36" s="9">
        <f t="shared" si="6"/>
        <v>-2.97</v>
      </c>
      <c r="K36" s="9">
        <f t="shared" si="7"/>
        <v>8.8209000000000017</v>
      </c>
      <c r="L36" s="9">
        <f t="shared" si="8"/>
        <v>8.6724000000000476</v>
      </c>
      <c r="M36" s="6" t="s">
        <v>41</v>
      </c>
    </row>
    <row r="37" spans="1:13" x14ac:dyDescent="0.3">
      <c r="A37" s="6">
        <v>31</v>
      </c>
      <c r="B37" s="15">
        <f>'20 puntos (m)'!B7</f>
        <v>4</v>
      </c>
      <c r="C37" s="16">
        <f>IF('20 puntos (m)'!C7="","",'20 puntos (m)'!C7)</f>
        <v>-71.8</v>
      </c>
      <c r="D37" s="8">
        <f t="shared" si="0"/>
        <v>-287.2</v>
      </c>
      <c r="E37" s="8">
        <f t="shared" si="1"/>
        <v>16</v>
      </c>
      <c r="F37" s="9">
        <f t="shared" si="2"/>
        <v>-63.445767069802855</v>
      </c>
      <c r="G37" s="9">
        <f t="shared" si="3"/>
        <v>69.793207851990331</v>
      </c>
      <c r="H37" s="9">
        <f t="shared" si="4"/>
        <v>-4.2200000000000131</v>
      </c>
      <c r="I37" s="9">
        <f t="shared" si="5"/>
        <v>17.808400000000109</v>
      </c>
      <c r="J37" s="9">
        <f t="shared" si="6"/>
        <v>-2.87</v>
      </c>
      <c r="K37" s="9">
        <f t="shared" si="7"/>
        <v>8.2369000000000003</v>
      </c>
      <c r="L37" s="9">
        <f t="shared" si="8"/>
        <v>12.111400000000039</v>
      </c>
      <c r="M37" s="6" t="s">
        <v>42</v>
      </c>
    </row>
    <row r="38" spans="1:13" x14ac:dyDescent="0.3">
      <c r="A38" s="6">
        <v>32</v>
      </c>
      <c r="B38" s="15">
        <f>'20 puntos (m)'!B8</f>
        <v>5</v>
      </c>
      <c r="C38" s="16">
        <f>IF('20 puntos (m)'!C8="","",'20 puntos (m)'!C8)</f>
        <v>-69</v>
      </c>
      <c r="D38" s="8">
        <f t="shared" si="0"/>
        <v>-345</v>
      </c>
      <c r="E38" s="8">
        <f t="shared" si="1"/>
        <v>25</v>
      </c>
      <c r="F38" s="9">
        <f t="shared" si="2"/>
        <v>-64.886266348617198</v>
      </c>
      <c r="G38" s="9">
        <f t="shared" si="3"/>
        <v>16.922804554519278</v>
      </c>
      <c r="H38" s="9">
        <f t="shared" si="4"/>
        <v>-1.4200000000000159</v>
      </c>
      <c r="I38" s="9">
        <f t="shared" si="5"/>
        <v>2.0164000000000453</v>
      </c>
      <c r="J38" s="9">
        <f t="shared" si="6"/>
        <v>-1.87</v>
      </c>
      <c r="K38" s="9">
        <f t="shared" si="7"/>
        <v>3.4969000000000006</v>
      </c>
      <c r="L38" s="9">
        <f t="shared" si="8"/>
        <v>2.65540000000003</v>
      </c>
      <c r="M38" s="6" t="s">
        <v>42</v>
      </c>
    </row>
    <row r="39" spans="1:13" x14ac:dyDescent="0.3">
      <c r="A39" s="6">
        <v>33</v>
      </c>
      <c r="B39" s="15">
        <f>'20 puntos (m)'!B9</f>
        <v>6</v>
      </c>
      <c r="C39" s="16">
        <f>IF('20 puntos (m)'!C9="","",'20 puntos (m)'!C9)</f>
        <v>-65.5</v>
      </c>
      <c r="D39" s="8">
        <f t="shared" ref="D39:D70" si="9">IF(C39="","",B39*C39)</f>
        <v>-393</v>
      </c>
      <c r="E39" s="8">
        <f t="shared" ref="E39:E56" si="10">IF(C39="","",B39^2)</f>
        <v>36</v>
      </c>
      <c r="F39" s="9">
        <f t="shared" ref="F39:F56" si="11">IF(C39="","",$O$15*B39+$O$16)</f>
        <v>-66.326765627431527</v>
      </c>
      <c r="G39" s="9">
        <f t="shared" ref="G39:G70" si="12">IF(C39="","",(C39-F39)^2)</f>
        <v>0.68354140270224673</v>
      </c>
      <c r="H39" s="9">
        <f t="shared" ref="H39:H56" si="13">IF(C39="","",C39-$O$11)</f>
        <v>2.0799999999999841</v>
      </c>
      <c r="I39" s="9">
        <f t="shared" ref="I39:I70" si="14">IF(C39="","",H39^2)</f>
        <v>4.3263999999999339</v>
      </c>
      <c r="J39" s="9">
        <f t="shared" ref="J39:J56" si="15">IF(C39="","",B39-$O$10)</f>
        <v>-0.87000000000000011</v>
      </c>
      <c r="K39" s="9">
        <f t="shared" ref="K39:K70" si="16">IF(C39="","",J39^2)</f>
        <v>0.75690000000000024</v>
      </c>
      <c r="L39" s="9">
        <f t="shared" ref="L39:L56" si="17">IF(C39="","",J39*H39)</f>
        <v>-1.8095999999999863</v>
      </c>
      <c r="M39" s="6" t="s">
        <v>42</v>
      </c>
    </row>
    <row r="40" spans="1:13" x14ac:dyDescent="0.3">
      <c r="A40" s="6">
        <v>34</v>
      </c>
      <c r="B40" s="15">
        <f>'20 puntos (m)'!B10</f>
        <v>7</v>
      </c>
      <c r="C40" s="16">
        <f>IF('20 puntos (m)'!C10="","",'20 puntos (m)'!C10)</f>
        <v>-68.7</v>
      </c>
      <c r="D40" s="8">
        <f t="shared" si="9"/>
        <v>-480.90000000000003</v>
      </c>
      <c r="E40" s="8">
        <f t="shared" si="10"/>
        <v>49</v>
      </c>
      <c r="F40" s="9">
        <f t="shared" si="11"/>
        <v>-67.767264906245856</v>
      </c>
      <c r="G40" s="9">
        <f t="shared" si="12"/>
        <v>0.86999475512055691</v>
      </c>
      <c r="H40" s="9">
        <f t="shared" si="13"/>
        <v>-1.1200000000000188</v>
      </c>
      <c r="I40" s="9">
        <f t="shared" si="14"/>
        <v>1.2544000000000419</v>
      </c>
      <c r="J40" s="9">
        <f t="shared" si="15"/>
        <v>0.12999999999999989</v>
      </c>
      <c r="K40" s="9">
        <f t="shared" si="16"/>
        <v>1.6899999999999971E-2</v>
      </c>
      <c r="L40" s="9">
        <f t="shared" si="17"/>
        <v>-0.14560000000000231</v>
      </c>
      <c r="M40" s="6" t="s">
        <v>42</v>
      </c>
    </row>
    <row r="41" spans="1:13" x14ac:dyDescent="0.3">
      <c r="A41" s="6">
        <v>35</v>
      </c>
      <c r="B41" s="15">
        <f>'20 puntos (m)'!B11</f>
        <v>8</v>
      </c>
      <c r="C41" s="16">
        <f>IF('20 puntos (m)'!C11="","",'20 puntos (m)'!C11)</f>
        <v>-74.7</v>
      </c>
      <c r="D41" s="8">
        <f t="shared" si="9"/>
        <v>-597.6</v>
      </c>
      <c r="E41" s="8">
        <f t="shared" si="10"/>
        <v>64</v>
      </c>
      <c r="F41" s="9">
        <f t="shared" si="11"/>
        <v>-69.207764185060199</v>
      </c>
      <c r="G41" s="9">
        <f t="shared" si="12"/>
        <v>30.164654246907489</v>
      </c>
      <c r="H41" s="9">
        <f t="shared" si="13"/>
        <v>-7.1200000000000188</v>
      </c>
      <c r="I41" s="9">
        <f t="shared" si="14"/>
        <v>50.694400000000265</v>
      </c>
      <c r="J41" s="9">
        <f t="shared" si="15"/>
        <v>1.1299999999999999</v>
      </c>
      <c r="K41" s="9">
        <f t="shared" si="16"/>
        <v>1.2768999999999997</v>
      </c>
      <c r="L41" s="9">
        <f t="shared" si="17"/>
        <v>-8.0456000000000198</v>
      </c>
      <c r="M41" s="6" t="s">
        <v>42</v>
      </c>
    </row>
    <row r="42" spans="1:13" x14ac:dyDescent="0.3">
      <c r="A42" s="6">
        <v>36</v>
      </c>
      <c r="B42" s="15">
        <f>'20 puntos (m)'!B12</f>
        <v>9</v>
      </c>
      <c r="C42" s="16">
        <f>IF('20 puntos (m)'!C12="","",'20 puntos (m)'!C12)</f>
        <v>-85.6</v>
      </c>
      <c r="D42" s="8">
        <f t="shared" si="9"/>
        <v>-770.4</v>
      </c>
      <c r="E42" s="8">
        <f t="shared" si="10"/>
        <v>81</v>
      </c>
      <c r="F42" s="9">
        <f t="shared" si="11"/>
        <v>-70.648263463874528</v>
      </c>
      <c r="G42" s="9">
        <f t="shared" si="12"/>
        <v>223.55442544570914</v>
      </c>
      <c r="H42" s="9">
        <f t="shared" si="13"/>
        <v>-18.02000000000001</v>
      </c>
      <c r="I42" s="9">
        <f t="shared" si="14"/>
        <v>324.72040000000038</v>
      </c>
      <c r="J42" s="9">
        <f t="shared" si="15"/>
        <v>2.13</v>
      </c>
      <c r="K42" s="9">
        <f t="shared" si="16"/>
        <v>4.5368999999999993</v>
      </c>
      <c r="L42" s="9">
        <f t="shared" si="17"/>
        <v>-38.382600000000018</v>
      </c>
      <c r="M42" s="6" t="s">
        <v>42</v>
      </c>
    </row>
    <row r="43" spans="1:13" x14ac:dyDescent="0.3">
      <c r="A43" s="6">
        <v>37</v>
      </c>
      <c r="B43" s="15">
        <f>'20 puntos (m)'!B13</f>
        <v>10</v>
      </c>
      <c r="C43" s="16">
        <f>IF('20 puntos (m)'!C13="","",'20 puntos (m)'!C13)</f>
        <v>-79.5</v>
      </c>
      <c r="D43" s="8">
        <f t="shared" si="9"/>
        <v>-795</v>
      </c>
      <c r="E43" s="8">
        <f t="shared" si="10"/>
        <v>100</v>
      </c>
      <c r="F43" s="9">
        <f t="shared" si="11"/>
        <v>-72.088762742688857</v>
      </c>
      <c r="G43" s="9">
        <f t="shared" si="12"/>
        <v>54.926437684156795</v>
      </c>
      <c r="H43" s="9">
        <f t="shared" si="13"/>
        <v>-11.920000000000016</v>
      </c>
      <c r="I43" s="9">
        <f t="shared" si="14"/>
        <v>142.08640000000037</v>
      </c>
      <c r="J43" s="9">
        <f t="shared" si="15"/>
        <v>3.13</v>
      </c>
      <c r="K43" s="9">
        <f t="shared" si="16"/>
        <v>9.7968999999999991</v>
      </c>
      <c r="L43" s="9">
        <f t="shared" si="17"/>
        <v>-37.309600000000046</v>
      </c>
      <c r="M43" s="6" t="s">
        <v>42</v>
      </c>
    </row>
    <row r="44" spans="1:13" x14ac:dyDescent="0.3">
      <c r="A44" s="6">
        <v>38</v>
      </c>
      <c r="B44" s="15">
        <f>'20 puntos (m)'!B14</f>
        <v>11</v>
      </c>
      <c r="C44" s="16">
        <f>IF('20 puntos (m)'!C14="","",'20 puntos (m)'!C14)</f>
        <v>-81.7</v>
      </c>
      <c r="D44" s="8">
        <f t="shared" si="9"/>
        <v>-898.7</v>
      </c>
      <c r="E44" s="8">
        <f t="shared" si="10"/>
        <v>121</v>
      </c>
      <c r="F44" s="9">
        <f t="shared" si="11"/>
        <v>-73.5292620215032</v>
      </c>
      <c r="G44" s="9">
        <f t="shared" si="12"/>
        <v>66.76095911325001</v>
      </c>
      <c r="H44" s="9">
        <f t="shared" si="13"/>
        <v>-14.120000000000019</v>
      </c>
      <c r="I44" s="9">
        <f t="shared" si="14"/>
        <v>199.37440000000052</v>
      </c>
      <c r="J44" s="9">
        <f t="shared" si="15"/>
        <v>4.13</v>
      </c>
      <c r="K44" s="9">
        <f t="shared" si="16"/>
        <v>17.056899999999999</v>
      </c>
      <c r="L44" s="9">
        <f t="shared" si="17"/>
        <v>-58.315600000000074</v>
      </c>
      <c r="M44" s="6" t="s">
        <v>42</v>
      </c>
    </row>
    <row r="45" spans="1:13" x14ac:dyDescent="0.3">
      <c r="A45" s="6">
        <v>39</v>
      </c>
      <c r="B45" s="15">
        <f>'20 puntos (m)'!B15</f>
        <v>12</v>
      </c>
      <c r="C45" s="16">
        <f>IF('20 puntos (m)'!C15="","",'20 puntos (m)'!C15)</f>
        <v>-78.900000000000006</v>
      </c>
      <c r="D45" s="8">
        <f t="shared" si="9"/>
        <v>-946.80000000000007</v>
      </c>
      <c r="E45" s="8">
        <f t="shared" si="10"/>
        <v>144</v>
      </c>
      <c r="F45" s="9">
        <f t="shared" si="11"/>
        <v>-74.969761300317529</v>
      </c>
      <c r="G45" s="9">
        <f t="shared" si="12"/>
        <v>15.446776236481805</v>
      </c>
      <c r="H45" s="9">
        <f t="shared" si="13"/>
        <v>-11.320000000000022</v>
      </c>
      <c r="I45" s="9">
        <f t="shared" si="14"/>
        <v>128.14240000000049</v>
      </c>
      <c r="J45" s="9">
        <f t="shared" si="15"/>
        <v>5.13</v>
      </c>
      <c r="K45" s="9">
        <f t="shared" si="16"/>
        <v>26.3169</v>
      </c>
      <c r="L45" s="9">
        <f t="shared" si="17"/>
        <v>-58.07160000000011</v>
      </c>
      <c r="M45" s="6" t="s">
        <v>42</v>
      </c>
    </row>
    <row r="46" spans="1:13" x14ac:dyDescent="0.3">
      <c r="A46" s="6">
        <v>40</v>
      </c>
      <c r="B46" s="15">
        <f>'20 puntos (m)'!B16</f>
        <v>13</v>
      </c>
      <c r="C46" s="16">
        <f>IF('20 puntos (m)'!C16="","",'20 puntos (m)'!C16)</f>
        <v>-76.900000000000006</v>
      </c>
      <c r="D46" s="8">
        <f t="shared" si="9"/>
        <v>-999.7</v>
      </c>
      <c r="E46" s="8">
        <f t="shared" si="10"/>
        <v>169</v>
      </c>
      <c r="F46" s="9">
        <f t="shared" si="11"/>
        <v>-76.410260579131858</v>
      </c>
      <c r="G46" s="9">
        <f t="shared" si="12"/>
        <v>0.2398447003522686</v>
      </c>
      <c r="H46" s="9">
        <f t="shared" si="13"/>
        <v>-9.3200000000000216</v>
      </c>
      <c r="I46" s="9">
        <f t="shared" si="14"/>
        <v>86.862400000000406</v>
      </c>
      <c r="J46" s="9">
        <f t="shared" si="15"/>
        <v>6.13</v>
      </c>
      <c r="K46" s="9">
        <f t="shared" si="16"/>
        <v>37.576900000000002</v>
      </c>
      <c r="L46" s="9">
        <f t="shared" si="17"/>
        <v>-57.131600000000134</v>
      </c>
      <c r="M46" s="6" t="s">
        <v>42</v>
      </c>
    </row>
    <row r="47" spans="1:13" x14ac:dyDescent="0.3">
      <c r="A47" s="6">
        <v>41</v>
      </c>
      <c r="B47" s="15">
        <f>'20 puntos (m)'!B17</f>
        <v>14</v>
      </c>
      <c r="C47" s="16">
        <f>IF('20 puntos (m)'!C17="","",'20 puntos (m)'!C17)</f>
        <v>-80.400000000000006</v>
      </c>
      <c r="D47" s="8">
        <f t="shared" si="9"/>
        <v>-1125.6000000000001</v>
      </c>
      <c r="E47" s="8">
        <f t="shared" si="10"/>
        <v>196</v>
      </c>
      <c r="F47" s="9">
        <f t="shared" si="11"/>
        <v>-77.850759857946201</v>
      </c>
      <c r="G47" s="9">
        <f t="shared" si="12"/>
        <v>6.4986253018585014</v>
      </c>
      <c r="H47" s="9">
        <f t="shared" si="13"/>
        <v>-12.820000000000022</v>
      </c>
      <c r="I47" s="9">
        <f t="shared" si="14"/>
        <v>164.35240000000056</v>
      </c>
      <c r="J47" s="9">
        <f t="shared" si="15"/>
        <v>7.13</v>
      </c>
      <c r="K47" s="9">
        <f t="shared" si="16"/>
        <v>50.8369</v>
      </c>
      <c r="L47" s="9">
        <f t="shared" si="17"/>
        <v>-91.406600000000154</v>
      </c>
      <c r="M47" s="6" t="s">
        <v>42</v>
      </c>
    </row>
    <row r="48" spans="1:13" x14ac:dyDescent="0.3">
      <c r="A48" s="6">
        <v>42</v>
      </c>
      <c r="B48" s="15">
        <f>'20 puntos (m)'!B18</f>
        <v>15</v>
      </c>
      <c r="C48" s="16">
        <f>IF('20 puntos (m)'!C18="","",'20 puntos (m)'!C18)</f>
        <v>-80.3</v>
      </c>
      <c r="D48" s="8">
        <f t="shared" si="9"/>
        <v>-1204.5</v>
      </c>
      <c r="E48" s="8">
        <f t="shared" si="10"/>
        <v>225</v>
      </c>
      <c r="F48" s="9">
        <f t="shared" si="11"/>
        <v>-79.29125913676053</v>
      </c>
      <c r="G48" s="9">
        <f t="shared" si="12"/>
        <v>1.0175581291691052</v>
      </c>
      <c r="H48" s="9">
        <f t="shared" si="13"/>
        <v>-12.720000000000013</v>
      </c>
      <c r="I48" s="9">
        <f t="shared" si="14"/>
        <v>161.79840000000033</v>
      </c>
      <c r="J48" s="9">
        <f t="shared" si="15"/>
        <v>8.129999999999999</v>
      </c>
      <c r="K48" s="9">
        <f t="shared" si="16"/>
        <v>66.096899999999991</v>
      </c>
      <c r="L48" s="9">
        <f t="shared" si="17"/>
        <v>-103.41360000000009</v>
      </c>
      <c r="M48" s="6" t="s">
        <v>42</v>
      </c>
    </row>
    <row r="49" spans="1:13" x14ac:dyDescent="0.3">
      <c r="A49" s="6">
        <v>43</v>
      </c>
      <c r="B49" s="15">
        <f>'20 puntos (m)'!B19</f>
        <v>16</v>
      </c>
      <c r="C49" s="16">
        <f>IF('20 puntos (m)'!C19="","",'20 puntos (m)'!C19)</f>
        <v>-80</v>
      </c>
      <c r="D49" s="8">
        <f t="shared" si="9"/>
        <v>-1280</v>
      </c>
      <c r="E49" s="8">
        <f t="shared" si="10"/>
        <v>256</v>
      </c>
      <c r="F49" s="9">
        <f t="shared" si="11"/>
        <v>-80.731758415574859</v>
      </c>
      <c r="G49" s="9">
        <f t="shared" si="12"/>
        <v>0.53547037876462822</v>
      </c>
      <c r="H49" s="9">
        <f t="shared" si="13"/>
        <v>-12.420000000000016</v>
      </c>
      <c r="I49" s="9">
        <f t="shared" si="14"/>
        <v>154.25640000000038</v>
      </c>
      <c r="J49" s="9">
        <f t="shared" si="15"/>
        <v>9.129999999999999</v>
      </c>
      <c r="K49" s="9">
        <f t="shared" si="16"/>
        <v>83.356899999999982</v>
      </c>
      <c r="L49" s="9">
        <f t="shared" si="17"/>
        <v>-113.39460000000014</v>
      </c>
      <c r="M49" s="6" t="s">
        <v>42</v>
      </c>
    </row>
    <row r="50" spans="1:13" x14ac:dyDescent="0.3">
      <c r="A50" s="6">
        <v>44</v>
      </c>
      <c r="B50" s="15">
        <f>'20 puntos (m)'!B20</f>
        <v>17</v>
      </c>
      <c r="C50" s="16">
        <f>IF('20 puntos (m)'!C20="","",'20 puntos (m)'!C20)</f>
        <v>-81.599999999999994</v>
      </c>
      <c r="D50" s="8">
        <f t="shared" si="9"/>
        <v>-1387.1999999999998</v>
      </c>
      <c r="E50" s="8">
        <f t="shared" si="10"/>
        <v>289</v>
      </c>
      <c r="F50" s="9">
        <f t="shared" si="11"/>
        <v>-82.172257694389188</v>
      </c>
      <c r="G50" s="9">
        <f t="shared" si="12"/>
        <v>0.32747886878763582</v>
      </c>
      <c r="H50" s="9">
        <f t="shared" si="13"/>
        <v>-14.02000000000001</v>
      </c>
      <c r="I50" s="9">
        <f t="shared" si="14"/>
        <v>196.5604000000003</v>
      </c>
      <c r="J50" s="9">
        <f t="shared" si="15"/>
        <v>10.129999999999999</v>
      </c>
      <c r="K50" s="9">
        <f t="shared" si="16"/>
        <v>102.61689999999999</v>
      </c>
      <c r="L50" s="9">
        <f t="shared" si="17"/>
        <v>-142.0226000000001</v>
      </c>
      <c r="M50" s="6" t="s">
        <v>42</v>
      </c>
    </row>
    <row r="51" spans="1:13" x14ac:dyDescent="0.3">
      <c r="A51" s="6">
        <v>45</v>
      </c>
      <c r="B51" s="15">
        <f>'20 puntos (m)'!B21</f>
        <v>18</v>
      </c>
      <c r="C51" s="16">
        <f>IF('20 puntos (m)'!C21="","",'20 puntos (m)'!C21)</f>
        <v>-84.3</v>
      </c>
      <c r="D51" s="8">
        <f t="shared" si="9"/>
        <v>-1517.3999999999999</v>
      </c>
      <c r="E51" s="8">
        <f t="shared" si="10"/>
        <v>324</v>
      </c>
      <c r="F51" s="9">
        <f t="shared" si="11"/>
        <v>-83.612756973203517</v>
      </c>
      <c r="G51" s="9">
        <f t="shared" si="12"/>
        <v>0.47230297788038761</v>
      </c>
      <c r="H51" s="9">
        <f t="shared" si="13"/>
        <v>-16.720000000000013</v>
      </c>
      <c r="I51" s="9">
        <f t="shared" si="14"/>
        <v>279.55840000000046</v>
      </c>
      <c r="J51" s="9">
        <f t="shared" si="15"/>
        <v>11.129999999999999</v>
      </c>
      <c r="K51" s="9">
        <f t="shared" si="16"/>
        <v>123.87689999999998</v>
      </c>
      <c r="L51" s="9">
        <f t="shared" si="17"/>
        <v>-186.09360000000012</v>
      </c>
      <c r="M51" s="6" t="s">
        <v>42</v>
      </c>
    </row>
    <row r="52" spans="1:13" x14ac:dyDescent="0.3">
      <c r="A52" s="6">
        <v>46</v>
      </c>
      <c r="B52" s="15">
        <f>'20 puntos (m)'!B22</f>
        <v>19</v>
      </c>
      <c r="C52" s="16">
        <f>IF('20 puntos (m)'!C22="","",'20 puntos (m)'!C22)</f>
        <v>-88.1</v>
      </c>
      <c r="D52" s="8">
        <f t="shared" si="9"/>
        <v>-1673.8999999999999</v>
      </c>
      <c r="E52" s="8">
        <f t="shared" si="10"/>
        <v>361</v>
      </c>
      <c r="F52" s="9">
        <f t="shared" si="11"/>
        <v>-85.05325625201786</v>
      </c>
      <c r="G52" s="9">
        <f t="shared" si="12"/>
        <v>9.282647465868223</v>
      </c>
      <c r="H52" s="9">
        <f t="shared" si="13"/>
        <v>-20.52000000000001</v>
      </c>
      <c r="I52" s="9">
        <f t="shared" si="14"/>
        <v>421.0704000000004</v>
      </c>
      <c r="J52" s="9">
        <f t="shared" si="15"/>
        <v>12.129999999999999</v>
      </c>
      <c r="K52" s="9">
        <f t="shared" si="16"/>
        <v>147.13689999999997</v>
      </c>
      <c r="L52" s="9">
        <f t="shared" si="17"/>
        <v>-248.90760000000012</v>
      </c>
      <c r="M52" s="6" t="s">
        <v>42</v>
      </c>
    </row>
    <row r="53" spans="1:13" x14ac:dyDescent="0.3">
      <c r="A53" s="6">
        <v>47</v>
      </c>
      <c r="B53" s="15">
        <f>'20 puntos (m)'!B23</f>
        <v>20</v>
      </c>
      <c r="C53" s="16">
        <f>IF('20 puntos (m)'!C23="","",'20 puntos (m)'!C23)</f>
        <v>-86.7</v>
      </c>
      <c r="D53" s="8">
        <f t="shared" si="9"/>
        <v>-1734</v>
      </c>
      <c r="E53" s="8">
        <f t="shared" si="10"/>
        <v>400</v>
      </c>
      <c r="F53" s="9">
        <f t="shared" si="11"/>
        <v>-86.493755530832189</v>
      </c>
      <c r="G53" s="9">
        <f t="shared" si="12"/>
        <v>4.2536781062313296E-2</v>
      </c>
      <c r="H53" s="9">
        <f t="shared" si="13"/>
        <v>-19.120000000000019</v>
      </c>
      <c r="I53" s="9">
        <f t="shared" si="14"/>
        <v>365.57440000000071</v>
      </c>
      <c r="J53" s="9">
        <f t="shared" si="15"/>
        <v>13.129999999999999</v>
      </c>
      <c r="K53" s="9">
        <f t="shared" si="16"/>
        <v>172.39689999999999</v>
      </c>
      <c r="L53" s="9">
        <f t="shared" si="17"/>
        <v>-251.04560000000023</v>
      </c>
      <c r="M53" s="6" t="s">
        <v>42</v>
      </c>
    </row>
    <row r="54" spans="1:13" x14ac:dyDescent="0.3">
      <c r="A54" s="6">
        <v>48</v>
      </c>
      <c r="B54" s="15">
        <f>'20 puntos (m)'!B24</f>
        <v>21</v>
      </c>
      <c r="C54" s="16">
        <f>IF('20 puntos (m)'!C24="","",'20 puntos (m)'!C24)</f>
        <v>-81.5</v>
      </c>
      <c r="D54" s="8">
        <f t="shared" si="9"/>
        <v>-1711.5</v>
      </c>
      <c r="E54" s="8">
        <f t="shared" si="10"/>
        <v>441</v>
      </c>
      <c r="F54" s="9">
        <f t="shared" si="11"/>
        <v>-87.934254809646518</v>
      </c>
      <c r="G54" s="9">
        <f t="shared" si="12"/>
        <v>41.399634955459348</v>
      </c>
      <c r="H54" s="9">
        <f t="shared" si="13"/>
        <v>-13.920000000000016</v>
      </c>
      <c r="I54" s="9">
        <f t="shared" si="14"/>
        <v>193.76640000000043</v>
      </c>
      <c r="J54" s="9">
        <f t="shared" si="15"/>
        <v>14.129999999999999</v>
      </c>
      <c r="K54" s="9">
        <f t="shared" si="16"/>
        <v>199.65689999999998</v>
      </c>
      <c r="L54" s="9">
        <f t="shared" si="17"/>
        <v>-196.68960000000021</v>
      </c>
      <c r="M54" s="6" t="s">
        <v>42</v>
      </c>
    </row>
    <row r="55" spans="1:13" x14ac:dyDescent="0.3">
      <c r="A55" s="6">
        <v>49</v>
      </c>
      <c r="B55" s="15">
        <f>'20 puntos (m)'!B25</f>
        <v>22</v>
      </c>
      <c r="C55" s="16">
        <f>IF('20 puntos (m)'!C25="","",'20 puntos (m)'!C25)</f>
        <v>-79.099999999999994</v>
      </c>
      <c r="D55" s="8">
        <f t="shared" si="9"/>
        <v>-1740.1999999999998</v>
      </c>
      <c r="E55" s="8">
        <f t="shared" si="10"/>
        <v>484</v>
      </c>
      <c r="F55" s="9">
        <f t="shared" si="11"/>
        <v>-89.374754088460861</v>
      </c>
      <c r="G55" s="9">
        <f t="shared" si="12"/>
        <v>105.57057157834329</v>
      </c>
      <c r="H55" s="9">
        <f t="shared" si="13"/>
        <v>-11.52000000000001</v>
      </c>
      <c r="I55" s="9">
        <f t="shared" si="14"/>
        <v>132.71040000000025</v>
      </c>
      <c r="J55" s="9">
        <f t="shared" si="15"/>
        <v>15.129999999999999</v>
      </c>
      <c r="K55" s="9">
        <f t="shared" si="16"/>
        <v>228.91689999999997</v>
      </c>
      <c r="L55" s="9">
        <f t="shared" si="17"/>
        <v>-174.29760000000013</v>
      </c>
      <c r="M55" s="6" t="s">
        <v>42</v>
      </c>
    </row>
    <row r="56" spans="1:13" x14ac:dyDescent="0.3">
      <c r="A56" s="6">
        <v>50</v>
      </c>
      <c r="B56" s="15">
        <f>'20 puntos (m)'!B26</f>
        <v>23</v>
      </c>
      <c r="C56" s="16">
        <f>IF('20 puntos (m)'!C26="","",'20 puntos (m)'!C26)</f>
        <v>-80.5</v>
      </c>
      <c r="D56" s="8">
        <f t="shared" si="9"/>
        <v>-1851.5</v>
      </c>
      <c r="E56" s="8">
        <f t="shared" si="10"/>
        <v>529</v>
      </c>
      <c r="F56" s="9">
        <f t="shared" si="11"/>
        <v>-90.81525336727519</v>
      </c>
      <c r="G56" s="9">
        <f t="shared" si="12"/>
        <v>106.40445203108214</v>
      </c>
      <c r="H56" s="9">
        <f t="shared" si="13"/>
        <v>-12.920000000000016</v>
      </c>
      <c r="I56" s="9">
        <f t="shared" si="14"/>
        <v>166.9264000000004</v>
      </c>
      <c r="J56" s="9">
        <f t="shared" si="15"/>
        <v>16.13</v>
      </c>
      <c r="K56" s="9">
        <f t="shared" si="16"/>
        <v>260.17689999999999</v>
      </c>
      <c r="L56" s="9">
        <f t="shared" si="17"/>
        <v>-208.39960000000025</v>
      </c>
      <c r="M56" s="6" t="s">
        <v>42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30 puntos (cm)</vt:lpstr>
      <vt:lpstr>20 puntos (m)</vt:lpstr>
      <vt:lpstr>Todos juntos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 de los Angeles Martinez</cp:lastModifiedBy>
  <cp:revision>2</cp:revision>
  <dcterms:created xsi:type="dcterms:W3CDTF">2026-10-27T01:42:30Z</dcterms:created>
  <dcterms:modified xsi:type="dcterms:W3CDTF">2026-10-29T04:20:37Z</dcterms:modified>
  <dc:language>en-US</dc:language>
</cp:coreProperties>
</file>